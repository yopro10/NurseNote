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BE7E3FDF-58B8-4C12-980B-8B86A4860959}" xr6:coauthVersionLast="47" xr6:coauthVersionMax="47" xr10:uidLastSave="{00000000-0000-0000-0000-000000000000}"/>
  <bookViews>
    <workbookView xWindow="0" yWindow="0" windowWidth="16384" windowHeight="8192" tabRatio="500" activeTab="1" xr2:uid="{00000000-000D-0000-FFFF-FFFF00000000}"/>
  </bookViews>
  <sheets>
    <sheet name="Cronograma del Proyecto" sheetId="1" r:id="rId1"/>
    <sheet name="Cambios realizados" sheetId="2"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153" i="1" l="1"/>
  <c r="J152" i="1"/>
  <c r="J151" i="1"/>
  <c r="J150" i="1"/>
  <c r="J149" i="1"/>
  <c r="J148" i="1"/>
  <c r="J147" i="1"/>
  <c r="J146" i="1"/>
  <c r="J145" i="1"/>
  <c r="J144" i="1"/>
  <c r="J139" i="1"/>
  <c r="J138" i="1"/>
  <c r="J137" i="1"/>
  <c r="J136" i="1"/>
  <c r="J135" i="1"/>
  <c r="J130" i="1"/>
  <c r="J129" i="1"/>
  <c r="J124" i="1"/>
  <c r="J123" i="1"/>
  <c r="J122" i="1"/>
  <c r="J121" i="1"/>
  <c r="J120" i="1"/>
  <c r="J119" i="1"/>
  <c r="J118" i="1"/>
  <c r="J117" i="1"/>
  <c r="J116" i="1"/>
  <c r="J115" i="1"/>
  <c r="J114" i="1"/>
  <c r="J113" i="1"/>
  <c r="J108" i="1"/>
  <c r="J107" i="1"/>
  <c r="J106" i="1"/>
  <c r="J105" i="1"/>
  <c r="J104" i="1"/>
  <c r="J103" i="1"/>
  <c r="J102"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0" i="1"/>
  <c r="J59" i="1"/>
  <c r="J58" i="1"/>
  <c r="J57" i="1"/>
  <c r="J56" i="1"/>
  <c r="J51" i="1"/>
  <c r="J50" i="1"/>
  <c r="J49" i="1"/>
  <c r="J44" i="1"/>
  <c r="J43" i="1"/>
  <c r="J42" i="1"/>
  <c r="J41" i="1"/>
  <c r="J40" i="1"/>
  <c r="J39" i="1"/>
  <c r="J38" i="1"/>
  <c r="J33" i="1"/>
  <c r="J32" i="1"/>
  <c r="J31" i="1"/>
  <c r="J30" i="1"/>
  <c r="J29" i="1"/>
  <c r="J28" i="1"/>
  <c r="J27" i="1"/>
  <c r="J22" i="1"/>
  <c r="J21" i="1"/>
  <c r="J20" i="1"/>
  <c r="J19" i="1"/>
  <c r="J18" i="1"/>
  <c r="J17" i="1"/>
  <c r="J16" i="1"/>
  <c r="J15" i="1"/>
  <c r="J14" i="1"/>
  <c r="J13" i="1"/>
  <c r="J8" i="1"/>
  <c r="J7" i="1"/>
  <c r="J6" i="1"/>
  <c r="I2" i="1"/>
</calcChain>
</file>

<file path=xl/sharedStrings.xml><?xml version="1.0" encoding="utf-8"?>
<sst xmlns="http://schemas.openxmlformats.org/spreadsheetml/2006/main" count="871" uniqueCount="482">
  <si>
    <t>Título del Proyecto</t>
  </si>
  <si>
    <t>NurseNote</t>
  </si>
  <si>
    <t>Fecha inicio</t>
  </si>
  <si>
    <t>Duración del proyecto</t>
  </si>
  <si>
    <t>Gerente del Proyecto</t>
  </si>
  <si>
    <t>Rodríguez Sánchez Karol Michelle</t>
  </si>
  <si>
    <t>Fecha fin</t>
  </si>
  <si>
    <t>en días</t>
  </si>
  <si>
    <t>ID EDT</t>
  </si>
  <si>
    <t>ID Actividad</t>
  </si>
  <si>
    <t>Fase</t>
  </si>
  <si>
    <t>Nombre de la tarea</t>
  </si>
  <si>
    <t>Estado</t>
  </si>
  <si>
    <t>Responsable / Asignado a</t>
  </si>
  <si>
    <t>Predecesoras</t>
  </si>
  <si>
    <t>Duración (días hábiles)</t>
  </si>
  <si>
    <t>Entregable</t>
  </si>
  <si>
    <t>Comentarios</t>
  </si>
  <si>
    <t>Fase 1 - Inicio y definición del proyecto</t>
  </si>
  <si>
    <t>1.1</t>
  </si>
  <si>
    <t>A01</t>
  </si>
  <si>
    <t>Fase 1</t>
  </si>
  <si>
    <t>Definición del Proyecto</t>
  </si>
  <si>
    <t>Completo</t>
  </si>
  <si>
    <t>Todo el equipo</t>
  </si>
  <si>
    <t>—</t>
  </si>
  <si>
    <t>1.2</t>
  </si>
  <si>
    <t>A02</t>
  </si>
  <si>
    <t>Identificar los interesados</t>
  </si>
  <si>
    <t>1.3</t>
  </si>
  <si>
    <t>A03</t>
  </si>
  <si>
    <t>Levantamiento de requerimientos</t>
  </si>
  <si>
    <t>En Progreso</t>
  </si>
  <si>
    <t>A01, A02</t>
  </si>
  <si>
    <t>Entregable de fase:</t>
  </si>
  <si>
    <t>Acta de inicio / alcance preliminar</t>
  </si>
  <si>
    <t>HITO: Proyecto iniciado y alcance definido</t>
  </si>
  <si>
    <t>Fase 2 - Planificación del proyecto</t>
  </si>
  <si>
    <t>2.1</t>
  </si>
  <si>
    <t>A04</t>
  </si>
  <si>
    <t>Fase 2</t>
  </si>
  <si>
    <t>Establecer el alcance del proyecto</t>
  </si>
  <si>
    <t>No Iniciado</t>
  </si>
  <si>
    <t>A01, A02, A03</t>
  </si>
  <si>
    <t>2.2</t>
  </si>
  <si>
    <t>A05</t>
  </si>
  <si>
    <t>Elaboración de la EDT</t>
  </si>
  <si>
    <t>2.3</t>
  </si>
  <si>
    <t>A06</t>
  </si>
  <si>
    <t>Definir módulos principales de entrega</t>
  </si>
  <si>
    <t>A04, A05</t>
  </si>
  <si>
    <t>2.4</t>
  </si>
  <si>
    <t>A07</t>
  </si>
  <si>
    <t>Construcción del cronograma de actividades</t>
  </si>
  <si>
    <t>A04, A05, A06</t>
  </si>
  <si>
    <t>2.5</t>
  </si>
  <si>
    <t>A08</t>
  </si>
  <si>
    <t>Asignación de responsabilidades por tarea</t>
  </si>
  <si>
    <t>A05, A07</t>
  </si>
  <si>
    <t>2.6</t>
  </si>
  <si>
    <t>A09</t>
  </si>
  <si>
    <t>Estimar recursos y necesidades</t>
  </si>
  <si>
    <t>2.7</t>
  </si>
  <si>
    <t>A10</t>
  </si>
  <si>
    <t>Estimar costos y presupuestos</t>
  </si>
  <si>
    <t>2.8</t>
  </si>
  <si>
    <t>A11</t>
  </si>
  <si>
    <t>Identificación de riesgos del proyecto</t>
  </si>
  <si>
    <t>2.9</t>
  </si>
  <si>
    <t>A12</t>
  </si>
  <si>
    <t>Plan de mitigación de riesgos</t>
  </si>
  <si>
    <t>2.10</t>
  </si>
  <si>
    <t>A13</t>
  </si>
  <si>
    <t>Planes de comunicación</t>
  </si>
  <si>
    <t>Plan de gestión del proyecto (alcance, cronograma, presupuesto, riesgos)</t>
  </si>
  <si>
    <t>HITO: Plan de gestión del proyecto aprobado</t>
  </si>
  <si>
    <t>Fase 3 - Levantamiento y definición de requisitos</t>
  </si>
  <si>
    <t>3.1</t>
  </si>
  <si>
    <t>A14</t>
  </si>
  <si>
    <t>Fase 3</t>
  </si>
  <si>
    <t>Identificación de actores del sistema</t>
  </si>
  <si>
    <t>Analista</t>
  </si>
  <si>
    <t>A01, A02, A03, A05, A07, A08, A12</t>
  </si>
  <si>
    <t>3.2</t>
  </si>
  <si>
    <t>A15</t>
  </si>
  <si>
    <t>Levantamiento de requisitos funcionales</t>
  </si>
  <si>
    <t>3.3</t>
  </si>
  <si>
    <t>A16</t>
  </si>
  <si>
    <t>Levantamiento de requisitos no funcionales</t>
  </si>
  <si>
    <t>3.4</t>
  </si>
  <si>
    <t>A17</t>
  </si>
  <si>
    <t>Priorización y validación de requisitos</t>
  </si>
  <si>
    <t>Analista, PM</t>
  </si>
  <si>
    <t>A15, A16</t>
  </si>
  <si>
    <t>3.5</t>
  </si>
  <si>
    <t>A18</t>
  </si>
  <si>
    <t>Especificación formal de requerimientos</t>
  </si>
  <si>
    <t>3.6</t>
  </si>
  <si>
    <t>A19</t>
  </si>
  <si>
    <t>Elaboración de casos de uso</t>
  </si>
  <si>
    <t>3.7</t>
  </si>
  <si>
    <t>A20</t>
  </si>
  <si>
    <t>Matriz de trazabilidad requisito-objetivo-caso de uso</t>
  </si>
  <si>
    <t>Documento de requisitos funcionales y no funcionales + casos de uso</t>
  </si>
  <si>
    <t>HITO: Requisitos validados</t>
  </si>
  <si>
    <t>Fase 4 - Análisis y modelado UML</t>
  </si>
  <si>
    <t>4.1</t>
  </si>
  <si>
    <t>A21</t>
  </si>
  <si>
    <t>Fase 4</t>
  </si>
  <si>
    <t>Diagrama de casos de uso general</t>
  </si>
  <si>
    <t>Arquitecto</t>
  </si>
  <si>
    <t>4.2</t>
  </si>
  <si>
    <t>A22</t>
  </si>
  <si>
    <t>Diagrama de clases</t>
  </si>
  <si>
    <t>4.3</t>
  </si>
  <si>
    <t>A23</t>
  </si>
  <si>
    <t>Diagrama de actividades</t>
  </si>
  <si>
    <t>4.4</t>
  </si>
  <si>
    <t>A24</t>
  </si>
  <si>
    <t>Diagramas de secuencia</t>
  </si>
  <si>
    <t>4.5</t>
  </si>
  <si>
    <t>A25</t>
  </si>
  <si>
    <t>Diagrama de estados</t>
  </si>
  <si>
    <t>4.6</t>
  </si>
  <si>
    <t>A26</t>
  </si>
  <si>
    <t>Diagrama de paquetes/componentes</t>
  </si>
  <si>
    <t>4.7</t>
  </si>
  <si>
    <t>A27</t>
  </si>
  <si>
    <t>Boceto entidad-relación preliminar</t>
  </si>
  <si>
    <t>DBA</t>
  </si>
  <si>
    <t>Diagramas UML (casos de uso, clases, actividades, secuencia, estados, paquetes)</t>
  </si>
  <si>
    <t>HITO: Modelado UML completado</t>
  </si>
  <si>
    <t>Fase 5 - Diseño del sistema</t>
  </si>
  <si>
    <t>5.1</t>
  </si>
  <si>
    <t>A28</t>
  </si>
  <si>
    <t>Fase 5</t>
  </si>
  <si>
    <t>Diseño de arquitectura</t>
  </si>
  <si>
    <t>A20, A26</t>
  </si>
  <si>
    <t>5.2</t>
  </si>
  <si>
    <t>A29</t>
  </si>
  <si>
    <t>Diseño de base de datos</t>
  </si>
  <si>
    <t>A23, A24, A25, A27</t>
  </si>
  <si>
    <t>5.3</t>
  </si>
  <si>
    <t>A30</t>
  </si>
  <si>
    <t>Diseño UX/UI</t>
  </si>
  <si>
    <t>Diseñador UX/UI</t>
  </si>
  <si>
    <t>A21, A28</t>
  </si>
  <si>
    <t>Documento de arquitectura, modelo de datos y prototipo UX/UI</t>
  </si>
  <si>
    <t>HITO: Diseño del sistema aprobado</t>
  </si>
  <si>
    <t>Fase 6 - Configuración del entorno de desarrollo</t>
  </si>
  <si>
    <t>6.1</t>
  </si>
  <si>
    <t>A31</t>
  </si>
  <si>
    <t>Fase 6</t>
  </si>
  <si>
    <t>Repositorio y control de versiones</t>
  </si>
  <si>
    <t>DevOps</t>
  </si>
  <si>
    <t>6.2</t>
  </si>
  <si>
    <t>A32</t>
  </si>
  <si>
    <t>Estructura base del proyecto</t>
  </si>
  <si>
    <t>6.3</t>
  </si>
  <si>
    <t>A33</t>
  </si>
  <si>
    <t>Configuración de base de datos</t>
  </si>
  <si>
    <t>A29, A32</t>
  </si>
  <si>
    <t>6.4</t>
  </si>
  <si>
    <t>A34</t>
  </si>
  <si>
    <t>Configuración de ambientes</t>
  </si>
  <si>
    <t>6.5</t>
  </si>
  <si>
    <t>A35</t>
  </si>
  <si>
    <t>Definición de estándares de desarrollo</t>
  </si>
  <si>
    <t>Entorno de desarrollo configurado (repositorio, BD, estándares)</t>
  </si>
  <si>
    <t>HITO: Entorno de desarrollo listo</t>
  </si>
  <si>
    <t>Fase 7 - Desarrollo del prototipo funcional</t>
  </si>
  <si>
    <t>7.1.1</t>
  </si>
  <si>
    <t>A36.1</t>
  </si>
  <si>
    <t>Fase 7</t>
  </si>
  <si>
    <t>Backend: registro/login y cifrado de contraseñas</t>
  </si>
  <si>
    <t>Backend</t>
  </si>
  <si>
    <t>A33, A34, A35</t>
  </si>
  <si>
    <t>7.1.2</t>
  </si>
  <si>
    <t>A36.2</t>
  </si>
  <si>
    <t>Backend: control de acceso según rol</t>
  </si>
  <si>
    <t>7.1.3</t>
  </si>
  <si>
    <t>A36.3</t>
  </si>
  <si>
    <t>Frontend: pantallas de login/registro</t>
  </si>
  <si>
    <t>Frontend</t>
  </si>
  <si>
    <t>7.1.4</t>
  </si>
  <si>
    <t>A36.4</t>
  </si>
  <si>
    <t>Validaciones de credenciales y campos obligatorios</t>
  </si>
  <si>
    <t>Backend, Frontend</t>
  </si>
  <si>
    <t>7.1.5</t>
  </si>
  <si>
    <t>A36.5</t>
  </si>
  <si>
    <t>Seguridad: mecanismo de sesión/token y expiración</t>
  </si>
  <si>
    <t>7.2.1</t>
  </si>
  <si>
    <t>A37.1</t>
  </si>
  <si>
    <t>Backend: CRUD de usuarios y asignación de rol</t>
  </si>
  <si>
    <t>7.2.2</t>
  </si>
  <si>
    <t>A37.2</t>
  </si>
  <si>
    <t>Frontend: pantalla de administración de usuarios</t>
  </si>
  <si>
    <t>7.2.3</t>
  </si>
  <si>
    <t>A37.3</t>
  </si>
  <si>
    <t>Validaciones: unicidad de usuario/correo y rol obligatorio</t>
  </si>
  <si>
    <t>7.3.1</t>
  </si>
  <si>
    <t>A38.1</t>
  </si>
  <si>
    <t>Backend: CRUD de pacientes</t>
  </si>
  <si>
    <t>A36.5, A30</t>
  </si>
  <si>
    <t>7.3.2</t>
  </si>
  <si>
    <t>A38.2</t>
  </si>
  <si>
    <t>Frontend: formulario y listado de pacientes</t>
  </si>
  <si>
    <t>7.3.3</t>
  </si>
  <si>
    <t>A38.3</t>
  </si>
  <si>
    <t>Base de datos: persistencia de la entidad Paciente</t>
  </si>
  <si>
    <t>DBA, Backend</t>
  </si>
  <si>
    <t>7.3.4</t>
  </si>
  <si>
    <t>A38.4</t>
  </si>
  <si>
    <t>Validaciones: campos obligatorios y formato del paciente</t>
  </si>
  <si>
    <t>7.4.1</t>
  </si>
  <si>
    <t>A39.1</t>
  </si>
  <si>
    <t>Backend: crear nota de enfermería asociada a paciente</t>
  </si>
  <si>
    <t>7.4.2</t>
  </si>
  <si>
    <t>A39.2</t>
  </si>
  <si>
    <t>Backend: consultar historial de notas por paciente</t>
  </si>
  <si>
    <t>7.4.3</t>
  </si>
  <si>
    <t>A39.3</t>
  </si>
  <si>
    <t>Frontend: formulario de registro de nota</t>
  </si>
  <si>
    <t>7.4.4</t>
  </si>
  <si>
    <t>A39.4</t>
  </si>
  <si>
    <t>Frontend: vista de consulta/historial de notas</t>
  </si>
  <si>
    <t>7.4.5</t>
  </si>
  <si>
    <t>A39.5</t>
  </si>
  <si>
    <t>Base de datos: persistencia de la entidad NotaEnfermeria</t>
  </si>
  <si>
    <t>7.4.6</t>
  </si>
  <si>
    <t>A39.6</t>
  </si>
  <si>
    <t>Validaciones: campos obligatorios y asociación a paciente</t>
  </si>
  <si>
    <t>7.5.1</t>
  </si>
  <si>
    <t>A40.1</t>
  </si>
  <si>
    <t>Backend: registrar medicamento (cantidad, caducidad)</t>
  </si>
  <si>
    <t>Backend2</t>
  </si>
  <si>
    <t>Reprogramado: inicia tras entorno+autenticación (A34, A36.5), no espera a A38.4, para paralelizar el módulo de medicamentos con el de pacientes/notas.</t>
  </si>
  <si>
    <t>7.5.2</t>
  </si>
  <si>
    <t>A40.2</t>
  </si>
  <si>
    <t>Backend: actualizar y consultar stock disponible</t>
  </si>
  <si>
    <t>Ejecutado en paralelo por un segundo recurso Backend/Frontend para no extender el proyecto más allá del 18-nov-2026.</t>
  </si>
  <si>
    <t>7.5.3</t>
  </si>
  <si>
    <t>A40.3</t>
  </si>
  <si>
    <t>Backend: registrar medicamento suministrado por el familiar</t>
  </si>
  <si>
    <t>7.5.4</t>
  </si>
  <si>
    <t>A40.4</t>
  </si>
  <si>
    <t>Frontend: formulario de registro y consulta de stock</t>
  </si>
  <si>
    <t>Frontend2</t>
  </si>
  <si>
    <t>7.5.5</t>
  </si>
  <si>
    <t>A40.5</t>
  </si>
  <si>
    <t>Base de datos: persistencia de Medicamento e historial</t>
  </si>
  <si>
    <t>DBA, Backend2</t>
  </si>
  <si>
    <t>7.5.6</t>
  </si>
  <si>
    <t>A40.6</t>
  </si>
  <si>
    <t>Validaciones: cantidad no negativa y fecha válida</t>
  </si>
  <si>
    <t>Backend2, Frontend2</t>
  </si>
  <si>
    <t>7.6.1</t>
  </si>
  <si>
    <t>A41.1</t>
  </si>
  <si>
    <t>Definir umbral de días para alerta "próximo a caducar"</t>
  </si>
  <si>
    <t>PM, Analista</t>
  </si>
  <si>
    <t>7.6.2</t>
  </si>
  <si>
    <t>A41.2</t>
  </si>
  <si>
    <t>Backend: detectar medicamentos próximos a vencer/vencidos</t>
  </si>
  <si>
    <t>7.6.3</t>
  </si>
  <si>
    <t>A41.3</t>
  </si>
  <si>
    <t>Backend: generación del aviso/alerta</t>
  </si>
  <si>
    <t>7.6.4</t>
  </si>
  <si>
    <t>A41.4</t>
  </si>
  <si>
    <t>Frontend: visualización de alertas</t>
  </si>
  <si>
    <t>7.6.5</t>
  </si>
  <si>
    <t>A41.5</t>
  </si>
  <si>
    <t>Validaciones del umbral de días</t>
  </si>
  <si>
    <t>7.7.1</t>
  </si>
  <si>
    <t>A42.1</t>
  </si>
  <si>
    <t>Backend: capa de acceso a datos común</t>
  </si>
  <si>
    <t>7.7.2</t>
  </si>
  <si>
    <t>A42.2</t>
  </si>
  <si>
    <t>Backend: manejo centralizado de errores</t>
  </si>
  <si>
    <t>7.7.3</t>
  </si>
  <si>
    <t>A42.3</t>
  </si>
  <si>
    <t>Seguridad: control de acceso a nivel de endpoint</t>
  </si>
  <si>
    <t>7.7.4</t>
  </si>
  <si>
    <t>A42.4</t>
  </si>
  <si>
    <t>Validaciones generales de entrada de datos</t>
  </si>
  <si>
    <t>Prototipo funcional (módulos de acceso, usuarios, pacientes, notas, medicamentos, alertas)</t>
  </si>
  <si>
    <t>HITO: Prototipo funcional completo</t>
  </si>
  <si>
    <t>Fase 8 - Integración de módulos</t>
  </si>
  <si>
    <t>8.1</t>
  </si>
  <si>
    <t>A43</t>
  </si>
  <si>
    <t>Fase 8</t>
  </si>
  <si>
    <t>Integración de autenticación y roles</t>
  </si>
  <si>
    <t>A37.3, A42.4</t>
  </si>
  <si>
    <t>8.2</t>
  </si>
  <si>
    <t>A44</t>
  </si>
  <si>
    <t>Integración de gestión de pacientes</t>
  </si>
  <si>
    <t>8.3</t>
  </si>
  <si>
    <t>A45</t>
  </si>
  <si>
    <t>Integración de notas de enfermería</t>
  </si>
  <si>
    <t>8.4</t>
  </si>
  <si>
    <t>A46</t>
  </si>
  <si>
    <t>Integración de medicamentos y alertas</t>
  </si>
  <si>
    <t>A40.6, A41.5</t>
  </si>
  <si>
    <t>8.5</t>
  </si>
  <si>
    <t>A47</t>
  </si>
  <si>
    <t>Integración de todos los módulos con la BD</t>
  </si>
  <si>
    <t>A43, A44, A45, A46</t>
  </si>
  <si>
    <t>8.6</t>
  </si>
  <si>
    <t>A48</t>
  </si>
  <si>
    <t>Prueba de flujo completo</t>
  </si>
  <si>
    <t>QA</t>
  </si>
  <si>
    <t>8.7</t>
  </si>
  <si>
    <t>A49</t>
  </si>
  <si>
    <t>Corrección de errores de integración</t>
  </si>
  <si>
    <t>Sistema integrado y flujo completo validado</t>
  </si>
  <si>
    <t>HITO: Integración completa y flujo validado</t>
  </si>
  <si>
    <t>Fase 9 - Pruebas y control de calidad</t>
  </si>
  <si>
    <t>9.1</t>
  </si>
  <si>
    <t>A50</t>
  </si>
  <si>
    <t>Fase 9</t>
  </si>
  <si>
    <t>Plan y diseño de casos de prueba</t>
  </si>
  <si>
    <t>9.2.1</t>
  </si>
  <si>
    <t>A51.1</t>
  </si>
  <si>
    <t>Pruebas unitarias de backend</t>
  </si>
  <si>
    <t>9.2.2</t>
  </si>
  <si>
    <t>A51.2</t>
  </si>
  <si>
    <t>Pruebas de integración frontend-backend-BD</t>
  </si>
  <si>
    <t>9.2.3</t>
  </si>
  <si>
    <t>A51.3</t>
  </si>
  <si>
    <t>Pruebas funcionales de flujos principales</t>
  </si>
  <si>
    <t>9.2.4</t>
  </si>
  <si>
    <t>A51.4</t>
  </si>
  <si>
    <t>Pruebas de roles y permisos</t>
  </si>
  <si>
    <t>9.2.5</t>
  </si>
  <si>
    <t>A51.5</t>
  </si>
  <si>
    <t>Pruebas de gestión de pacientes</t>
  </si>
  <si>
    <t>QA2</t>
  </si>
  <si>
    <t>Ejecutado en paralelo por un segundo QA para no extender el proyecto más allá del 18-nov-2026.</t>
  </si>
  <si>
    <t>9.2.6</t>
  </si>
  <si>
    <t>A51.6</t>
  </si>
  <si>
    <t>Pruebas de notas de enfermería</t>
  </si>
  <si>
    <t>9.2.7</t>
  </si>
  <si>
    <t>A51.7</t>
  </si>
  <si>
    <t>Pruebas de medicamentos y alertas de caducidad</t>
  </si>
  <si>
    <t>9.2.8</t>
  </si>
  <si>
    <t>A51.8</t>
  </si>
  <si>
    <t>Pruebas de base de datos</t>
  </si>
  <si>
    <t>QA, DBA</t>
  </si>
  <si>
    <t>Inicia tras finalizar ambos frentes de prueba en paralelo (interfaz y módulos).</t>
  </si>
  <si>
    <t>9.2.9</t>
  </si>
  <si>
    <t>A51.9</t>
  </si>
  <si>
    <t>Pruebas de interfaz</t>
  </si>
  <si>
    <t>Reprogramado en paralelo a las pruebas de módulos (A51.5-A51.7).</t>
  </si>
  <si>
    <t>9.3</t>
  </si>
  <si>
    <t>A52</t>
  </si>
  <si>
    <t>Gestión de defectos (registro, corrección, repruebas)</t>
  </si>
  <si>
    <t>QA, Backend, Frontend</t>
  </si>
  <si>
    <t>9.4</t>
  </si>
  <si>
    <t>A53</t>
  </si>
  <si>
    <t>Validación final contra requisitos de alto nivel</t>
  </si>
  <si>
    <t>PM, QA</t>
  </si>
  <si>
    <t>Informe de pruebas y defectos corregidos</t>
  </si>
  <si>
    <t>HITO: Pruebas finalizadas y defectos corregidos</t>
  </si>
  <si>
    <t>Fase 10 - Despliegue y preparación de demo</t>
  </si>
  <si>
    <t>10.1</t>
  </si>
  <si>
    <t>A54</t>
  </si>
  <si>
    <t>Fase 10</t>
  </si>
  <si>
    <t>Preparación y despliegue del prototipo</t>
  </si>
  <si>
    <t>10.2</t>
  </si>
  <si>
    <t>A55</t>
  </si>
  <si>
    <t>Verificación y preparación de la demo</t>
  </si>
  <si>
    <t>Prototipo desplegado y demo preparada</t>
  </si>
  <si>
    <t>HITO: Prototipo desplegado / demo lista</t>
  </si>
  <si>
    <t>Fase 11 - Seguimiento y control del proyecto</t>
  </si>
  <si>
    <t>11.1</t>
  </si>
  <si>
    <t>A56</t>
  </si>
  <si>
    <t>Fase 11</t>
  </si>
  <si>
    <t>Realizar seguimiento del avance del proyecto</t>
  </si>
  <si>
    <t>A04, A05, A07, A08, A11, A12, A13, A14</t>
  </si>
  <si>
    <t>Duración corregida: actividad continua de seguimiento en paralelo durante toda la ejecución (no bloquea recursos); la duración ahora se calcula con NETWORKDAYS sobre el rango real.</t>
  </si>
  <si>
    <t>11.2</t>
  </si>
  <si>
    <t>A57</t>
  </si>
  <si>
    <t>Control de Cambios y ajustes de alcance</t>
  </si>
  <si>
    <t>A04, A05, A07, A11, A12, A56</t>
  </si>
  <si>
    <t>11.3</t>
  </si>
  <si>
    <t>A58</t>
  </si>
  <si>
    <t>Calidad de entrega</t>
  </si>
  <si>
    <t>A04, A05, A07, A11, A12, A57</t>
  </si>
  <si>
    <t>Ligado al fin de despliegue (A55) en vez de A57, conforme a la corrección ya documentada en Cambios realizados.</t>
  </si>
  <si>
    <t>11.4</t>
  </si>
  <si>
    <t>A59</t>
  </si>
  <si>
    <t>Generar reportes del proceso</t>
  </si>
  <si>
    <t>11.5</t>
  </si>
  <si>
    <t>A60</t>
  </si>
  <si>
    <t>Validación de resultados con el cliente</t>
  </si>
  <si>
    <t>Reportes de seguimiento y control de cambios</t>
  </si>
  <si>
    <t>HITO: Seguimiento y control cerrados</t>
  </si>
  <si>
    <t>Fase 12 - Documentación y cierre del proyecto</t>
  </si>
  <si>
    <t>12.1</t>
  </si>
  <si>
    <t>A61</t>
  </si>
  <si>
    <t>Fase 12</t>
  </si>
  <si>
    <t>Documentación de lecciones aprendidas</t>
  </si>
  <si>
    <t>A58, A59</t>
  </si>
  <si>
    <t>12.2.1</t>
  </si>
  <si>
    <t>A62.1</t>
  </si>
  <si>
    <t>Documentación de requisitos</t>
  </si>
  <si>
    <t>A55, A58, A59</t>
  </si>
  <si>
    <t>Reprogramado en paralelo: cada documento depende de que su fase correspondiente esté lista, no de los demás documentos.</t>
  </si>
  <si>
    <t>12.2.2</t>
  </si>
  <si>
    <t>A62.2</t>
  </si>
  <si>
    <t>Documentación UML</t>
  </si>
  <si>
    <t>12.2.3</t>
  </si>
  <si>
    <t>A62.3</t>
  </si>
  <si>
    <t>Documentación de arquitectura</t>
  </si>
  <si>
    <t>12.2.4</t>
  </si>
  <si>
    <t>A62.4</t>
  </si>
  <si>
    <t>Documentación de base de datos</t>
  </si>
  <si>
    <t>12.2.5</t>
  </si>
  <si>
    <t>A62.5</t>
  </si>
  <si>
    <t>Documentación técnica general</t>
  </si>
  <si>
    <t>12.2.6</t>
  </si>
  <si>
    <t>A62.6</t>
  </si>
  <si>
    <t>Manual de usuario por rol</t>
  </si>
  <si>
    <t>12.2.7</t>
  </si>
  <si>
    <t>A62.7</t>
  </si>
  <si>
    <t>Evidencias de pruebas</t>
  </si>
  <si>
    <t>12.3</t>
  </si>
  <si>
    <t>A63</t>
  </si>
  <si>
    <t>Elaboración del informe final</t>
  </si>
  <si>
    <t>A57, A58, A59, A60, A61, A62.7</t>
  </si>
  <si>
    <t>12.4</t>
  </si>
  <si>
    <t>A64</t>
  </si>
  <si>
    <t>Cierre del proyecto</t>
  </si>
  <si>
    <t>Documentación técnica, manual de usuario y entrega final</t>
  </si>
  <si>
    <t>HITO: Entrega final del proyecto</t>
  </si>
  <si>
    <t>Control de Cambios — Cronograma del Proyecto NurseNote</t>
  </si>
  <si>
    <t>Elemento</t>
  </si>
  <si>
    <t>Cambio realizado</t>
  </si>
  <si>
    <t>Motivo</t>
  </si>
  <si>
    <t>Estructura general</t>
  </si>
  <si>
    <t>Se reconstruyó el cronograma pasando de 31 tareas agregadas (5 fases) a 104 actividades (12 fases), una por cada actividad de la lista de actividades actualizada.</t>
  </si>
  <si>
    <t>Alineación con la EDT y la lista de actividades; el cronograma original solo cubría actividades de gestión de proyecto y no las fases de requisitos, diseño, desarrollo, integración, pruebas y documentación del producto.</t>
  </si>
  <si>
    <t>Fases</t>
  </si>
  <si>
    <t>Se usaron las 12 fases codificadas en la columna EDT de la lista de actividades (1.x a 12.x), en sustitución de las 5 fases genéricas de plantilla del cronograma original (Concepción, Definición y Planificación, Lanzamiento y Ejecución, Desempeño/Monitoreo, Cierre).</t>
  </si>
  <si>
    <t>Las fases originales eran genéricas de plantilla de MS Project y no reflejaban las fases reales del desarrollo de software definidas en la EDT/lista de actividades.</t>
  </si>
  <si>
    <t>Trazabilidad</t>
  </si>
  <si>
    <t>Se agregaron las columnas ID EDT, ID Actividad, Predecesoras, Entregable e Hitos.</t>
  </si>
  <si>
    <t>Permitir relacionar cada actividad del cronograma con la lista de actividades, sus dependencias y el entregable asociado.</t>
  </si>
  <si>
    <t>Fechas y duración</t>
  </si>
  <si>
    <t>Se recalcularon todas las fechas de inicio/fin a partir de las dependencias (predecesoras) y relaciones de precedencia (FS/SS/FF) declaradas en la lista de actividades, con una programación por disponibilidad de recursos (un mismo rol —Backend, Frontend, QA, DBA, etc.— no ejecuta dos actividades a la vez) y duración estimada en días hábiles (≈6 h efectivas/día).</t>
  </si>
  <si>
    <t>El cronograma original no tenía ninguna relación con las dependencias de la lista de actividades; sus fechas eran independientes.</t>
  </si>
  <si>
    <t>Duración total del proyecto</t>
  </si>
  <si>
    <t>La duración total pasó de 95 días calendario (16 ago–18 nov 2026) a 118 días calendario (17 ago–11 dic 2026).</t>
  </si>
  <si>
    <t>El alcance real (104 actividades, 477 horas estimadas) es mayor que el reflejado en el cronograma original (31 tareas de gestión, sin actividades de desarrollo detalladas); la nueva duración refleja el trabajo real necesario.</t>
  </si>
  <si>
    <t>Actividades de seguimiento (A56, A57)</t>
  </si>
  <si>
    <t>'Realizar seguimiento del avance' y 'Control de cambios' se extendieron para correr en paralelo durante toda la fase de ejecución (hasta el fin de pruebas/despliegue), en lugar de una fecha puntual.</t>
  </si>
  <si>
    <t>Son actividades de monitoreo continuo de PM; programarlas como tareas puntuales al inicio no reflejaba su naturaleza de seguimiento continuo.</t>
  </si>
  <si>
    <t>Actividades de cierre (A58–A64)</t>
  </si>
  <si>
    <t>Se reprogramaron para iniciar después de finalizado el despliegue (Fase 10), en vez de seguir estrictamente sus predecesoras declaradas en la lista de actividades (que solo referencian actividades tempranas de planificación, fases 1-2).</t>
  </si>
  <si>
    <t>Inconsistencia detectada en la lista de actividades: las predecesoras de 'Calidad de entrega', 'Generar reportes', 'Validación con cliente' y las actividades de documentación/cierre no referencian el desarrollo/pruebas/despliegue, lo que permitiría —siguiéndolas de forma literal— cerrar el proyecto antes de terminar de construirlo. Se corrigió el orden lógico de ejecución, según lo solicitado en la Parte 6 (validación) y el flujo de referencia de la Parte 2 del encargo. Ver también el informe final, sección de inconsistencias.</t>
  </si>
  <si>
    <t>Responsables</t>
  </si>
  <si>
    <t>Se usó el rol/recurso indicado en la columna RECURSOS de la lista de actividades (Analista, Arquitecto, DBA, Backend, Frontend, DevOps, QA, Diseñador UX/UI, PM) como 'Asignado a', en vez de los responsables genéricos o vacíos del cronograma original.</t>
  </si>
  <si>
    <t>Mejorar la coherencia de responsables entre cronograma y presupuesto (Parte 3).</t>
  </si>
  <si>
    <t>Estados</t>
  </si>
  <si>
    <t>Se mantuvieron 'Completo'/'En Progreso' solo para las 3 primeras actividades (definición del proyecto, interesados, requerimientos iniciales), replicando el avance parcial señalado en el archivo original; el resto se marcó 'No Iniciado'.</t>
  </si>
  <si>
    <t>Conservar el estado de avance ya reportado en el archivo original donde aún es coherente con la nueva estructura.</t>
  </si>
  <si>
    <t>Hitos</t>
  </si>
  <si>
    <t>Se agregó un hito explícito al cierre de cada una de las 12 fases.</t>
  </si>
  <si>
    <t>El archivo original no marcaba hitos; el punto 6 de validación exige que los hitos estén correctamente ubicados.</t>
  </si>
  <si>
    <t>Se corrigieron A56 y A57 ('Realizar seguimiento del avance' y 'Control de Cambios'), que mostraban duración fija = 2 aunque abarcan casi todo el proyecto. Además, la columna J ahora usa la fórmula =NETWORKDAYS(inicio,fin) en las 104 filas, en vez de un número fijo, para que nunca se desincronice de las fechas.</t>
  </si>
  <si>
    <t>El usuario reportó el error puntualmente. Un valor fijo se puede desactualizar cada vez que se edita una fecha; la fórmula se recalcula sola.</t>
  </si>
  <si>
    <t>Fecha límite del proyecto</t>
  </si>
  <si>
    <t>Se recomprimió el cronograma de 85 a 68 días hábiles (17-ago al 18-nov-2026), frente a la versión anterior que llegaba hasta el 11-dic-2026 (85 días hábiles / 117 días calendario).</t>
  </si>
  <si>
    <t>El usuario fijó el 18-nov-2026 como fecha máxima del proyecto, la misma fecha límite del documento original de planeación.</t>
  </si>
  <si>
    <t>Paralelización — Fase 7 (desarrollo)</t>
  </si>
  <si>
    <t>El módulo de Medicamentos y Alertas (A40.x, A41.x) se reprogramó para ejecutarse en paralelo al de Pacientes y Notas (A38.x, A39.x), asignado a un segundo recurso Backend/Frontend ('Backend2'/'Frontend2'), en lugar de esperar a que termine el primer módulo.</t>
  </si>
  <si>
    <t>Era el principal cuello de botella: con un solo Backend/Frontend, los 6 módulos de la Fase 7 se ejecutaban en fila. Los dos módulos son funcionalmente independientes (ambos solo requieren autenticación y entorno listos), así que paralelizarlos no cambia el alcance ni las dependencias reales, solo el orden de ejecución. Requiere que el equipo pueda asignar temporalmente un segundo Backend/Frontend durante esas semanas; si el equipo es de una sola persona por rol, esta parte no aplica y habría que recortar alcance en su lugar.</t>
  </si>
  <si>
    <t>Paralelización — Fase 9 (pruebas)</t>
  </si>
  <si>
    <t>Las pruebas de pacientes, notas y medicamentos/alertas (A51.5-A51.7) se movieron a un segundo QA ('QA2') en paralelo a las pruebas de interfaz (A51.9); ambas confluyen antes de las pruebas de base de datos (A51.8).</t>
  </si>
  <si>
    <t>Mismo motivo que Fase 7: un solo QA probaba los 9 tipos de prueba en fila. Los módulos de prueba son independientes entre sí.</t>
  </si>
  <si>
    <t>Cierre de documentación — Fase 12</t>
  </si>
  <si>
    <t>Los documentos de la Fase 12 (A62.1-A62.7: requisitos, UML, arquitectura, base de datos, técnica general, manual de usuario, evidencias de prueba) dejaron de encadenarse uno tras otro; cada uno ahora depende únicamente de que la fase de la que documenta esté terminada (p. ej. la documentación UML depende de que el modelado UML esté listo, no de que ya esté escrita la documentación de requisitos).</t>
  </si>
  <si>
    <t>Los 7 documentos los redactan roles distintos (Analista, Arquitecto, DBA, Todo el equipo, Diseñador UX/UI, QA) y no dependen entre sí en contenido; encadenarlos secuencialmente solo alargaba el cronograma sin razón técnica.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</si>
</sst>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font>
      <sz val="11"/>
      <color theme="1"/>
      <name val="Calibri"/>
      <family val="2"/>
      <charset val="1"/>
    </font>
    <font>
      <b/>
      <sz val="11"/>
      <color rgb="FF595959"/>
      <name val="Cambria"/>
      <charset val="1"/>
    </font>
    <font>
      <b/>
      <sz val="14"/>
      <color rgb="FF203864"/>
      <name val="Cambria"/>
      <charset val="1"/>
    </font>
    <font>
      <b/>
      <sz val="11"/>
      <color rgb="FFFFFFFF"/>
      <name val="Cambria"/>
      <charset val="1"/>
    </font>
    <font>
      <b/>
      <i/>
      <sz val="11"/>
      <name val="Cambria"/>
      <charset val="1"/>
    </font>
    <font>
      <b/>
      <sz val="11"/>
      <color rgb="FF7F6000"/>
      <name val="Cambria"/>
      <charset val="1"/>
    </font>
    <font>
      <b/>
      <sz val="13"/>
      <name val="Cambria"/>
      <charset val="1"/>
    </font>
  </fonts>
  <fills count="5">
    <fill>
      <patternFill patternType="none"/>
    </fill>
    <fill>
      <patternFill patternType="gray125"/>
    </fill>
    <fill>
      <patternFill patternType="solid">
        <fgColor rgb="FF333F4F"/>
        <bgColor rgb="FF203864"/>
      </patternFill>
    </fill>
    <fill>
      <patternFill patternType="solid">
        <fgColor rgb="FF4472C4"/>
        <bgColor rgb="FF0066CC"/>
      </patternFill>
    </fill>
    <fill>
      <patternFill patternType="solid">
        <fgColor rgb="FFFFE699"/>
        <bgColor rgb="FFFFCC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164" fontId="0" fillId="0" borderId="0" xfId="0" applyNumberFormat="1"/>
    <xf numFmtId="0" fontId="3" fillId="2" borderId="1" xfId="0" applyFont="1" applyFill="1" applyBorder="1" applyAlignment="1">
      <alignment horizontal="center" vertical="center" wrapText="1"/>
    </xf>
    <xf numFmtId="0" fontId="3" fillId="3" borderId="0" xfId="0" applyFont="1" applyFill="1"/>
    <xf numFmtId="0" fontId="0" fillId="0" borderId="1" xfId="0" applyBorder="1" applyAlignment="1">
      <alignment vertical="top" wrapText="1"/>
    </xf>
    <xf numFmtId="164" fontId="0" fillId="0" borderId="1" xfId="0" applyNumberFormat="1" applyBorder="1" applyAlignment="1">
      <alignment vertical="top" wrapText="1"/>
    </xf>
    <xf numFmtId="0" fontId="0" fillId="0" borderId="1" xfId="0" applyBorder="1"/>
    <xf numFmtId="0" fontId="4" fillId="0" borderId="1" xfId="0" applyFont="1" applyBorder="1"/>
    <xf numFmtId="0" fontId="0" fillId="0" borderId="1" xfId="0" applyBorder="1" applyAlignment="1">
      <alignment wrapText="1"/>
    </xf>
    <xf numFmtId="0" fontId="0" fillId="4" borderId="0" xfId="0" applyFill="1"/>
    <xf numFmtId="0" fontId="5" fillId="4" borderId="0" xfId="0" applyFont="1" applyFill="1"/>
    <xf numFmtId="164" fontId="0" fillId="4" borderId="0" xfId="0" applyNumberFormat="1" applyFill="1"/>
    <xf numFmtId="0" fontId="6" fillId="0" borderId="0" xfId="0" applyFont="1" applyAlignment="1">
      <alignment horizontal="center"/>
    </xf>
    <xf numFmtId="0" fontId="3" fillId="3" borderId="0" xfId="0" applyFont="1" applyFill="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4472C4"/>
      <rgbColor rgb="FF33CCCC"/>
      <rgbColor rgb="FF99CC00"/>
      <rgbColor rgb="FFFFCC00"/>
      <rgbColor rgb="FFFF9900"/>
      <rgbColor rgb="FFFF6600"/>
      <rgbColor rgb="FF595959"/>
      <rgbColor rgb="FF969696"/>
      <rgbColor rgb="FF203864"/>
      <rgbColor rgb="FF339966"/>
      <rgbColor rgb="FF003300"/>
      <rgbColor rgb="FF333300"/>
      <rgbColor rgb="FF993300"/>
      <rgbColor rgb="FF993366"/>
      <rgbColor rgb="FF333399"/>
      <rgbColor rgb="FF333F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5"/>
  <sheetViews>
    <sheetView zoomScaleNormal="100" workbookViewId="0">
      <pane xSplit="3" ySplit="4" topLeftCell="D23" activePane="bottomRight" state="frozen"/>
      <selection pane="bottomRight" activeCell="D1" sqref="D1"/>
      <selection pane="bottomLeft" activeCell="A5" sqref="A5"/>
      <selection pane="topRight" activeCell="D1" sqref="D1"/>
    </sheetView>
  </sheetViews>
  <sheetFormatPr defaultColWidth="8.7109375" defaultRowHeight="15"/>
  <cols>
    <col min="1" max="1" width="9" customWidth="1"/>
    <col min="2" max="2" width="11" customWidth="1"/>
    <col min="3" max="3" width="31.140625" customWidth="1"/>
    <col min="4" max="4" width="34" customWidth="1"/>
    <col min="5" max="5" width="13" customWidth="1"/>
    <col min="6" max="6" width="20" customWidth="1"/>
    <col min="7" max="7" width="16" customWidth="1"/>
    <col min="8" max="9" width="12" customWidth="1"/>
    <col min="10" max="10" width="10" customWidth="1"/>
    <col min="11" max="11" width="34" customWidth="1"/>
    <col min="12" max="12" width="20" customWidth="1"/>
  </cols>
  <sheetData>
    <row r="1" spans="1:12" ht="17.25" customHeight="1">
      <c r="B1" s="1" t="s">
        <v>0</v>
      </c>
      <c r="C1" s="2" t="s">
        <v>1</v>
      </c>
      <c r="E1" s="1" t="s">
        <v>2</v>
      </c>
      <c r="F1" s="3">
        <v>46251</v>
      </c>
      <c r="H1" s="1" t="s">
        <v>3</v>
      </c>
    </row>
    <row r="2" spans="1:12" ht="15" customHeight="1">
      <c r="B2" s="1" t="s">
        <v>4</v>
      </c>
      <c r="C2" t="s">
        <v>5</v>
      </c>
      <c r="E2" s="1" t="s">
        <v>6</v>
      </c>
      <c r="F2" s="3">
        <v>46344</v>
      </c>
      <c r="H2" s="1" t="s">
        <v>7</v>
      </c>
      <c r="I2">
        <f>NETWORKDAYS(F1,F2)</f>
        <v>68</v>
      </c>
    </row>
    <row r="4" spans="1:12" ht="41.25" customHeight="1">
      <c r="A4" s="4" t="s">
        <v>8</v>
      </c>
      <c r="B4" s="4" t="s">
        <v>9</v>
      </c>
      <c r="C4" s="4" t="s">
        <v>10</v>
      </c>
      <c r="D4" s="4" t="s">
        <v>11</v>
      </c>
      <c r="E4" s="4" t="s">
        <v>12</v>
      </c>
      <c r="F4" s="4" t="s">
        <v>13</v>
      </c>
      <c r="G4" s="4" t="s">
        <v>14</v>
      </c>
      <c r="H4" s="4" t="s">
        <v>2</v>
      </c>
      <c r="I4" s="4" t="s">
        <v>6</v>
      </c>
      <c r="J4" s="4" t="s">
        <v>15</v>
      </c>
      <c r="K4" s="4" t="s">
        <v>16</v>
      </c>
      <c r="L4" s="4" t="s">
        <v>17</v>
      </c>
    </row>
    <row r="5" spans="1:12" ht="15" customHeight="1">
      <c r="A5" s="15" t="s">
        <v>18</v>
      </c>
      <c r="B5" s="15"/>
      <c r="C5" s="15"/>
      <c r="D5" s="15"/>
      <c r="E5" s="15"/>
      <c r="F5" s="15"/>
      <c r="G5" s="15"/>
      <c r="H5" s="15"/>
      <c r="I5" s="15"/>
      <c r="J5" s="15"/>
      <c r="K5" s="15"/>
      <c r="L5" s="15"/>
    </row>
    <row r="6" spans="1:12" ht="15" customHeight="1">
      <c r="A6" s="6" t="s">
        <v>19</v>
      </c>
      <c r="B6" s="6" t="s">
        <v>20</v>
      </c>
      <c r="C6" s="6" t="s">
        <v>21</v>
      </c>
      <c r="D6" s="6" t="s">
        <v>22</v>
      </c>
      <c r="E6" s="6" t="s">
        <v>23</v>
      </c>
      <c r="F6" s="6" t="s">
        <v>24</v>
      </c>
      <c r="G6" s="6" t="s">
        <v>25</v>
      </c>
      <c r="H6" s="7">
        <v>46251</v>
      </c>
      <c r="I6" s="7">
        <v>46251</v>
      </c>
      <c r="J6" s="6">
        <f>NETWORKDAYS(H6,I6)</f>
        <v>1</v>
      </c>
      <c r="K6" s="6"/>
      <c r="L6" s="6"/>
    </row>
    <row r="7" spans="1:12" ht="15" customHeight="1">
      <c r="A7" s="6" t="s">
        <v>26</v>
      </c>
      <c r="B7" s="6" t="s">
        <v>27</v>
      </c>
      <c r="C7" s="6" t="s">
        <v>21</v>
      </c>
      <c r="D7" s="6" t="s">
        <v>28</v>
      </c>
      <c r="E7" s="6" t="s">
        <v>23</v>
      </c>
      <c r="F7" s="6" t="s">
        <v>24</v>
      </c>
      <c r="G7" s="6" t="s">
        <v>20</v>
      </c>
      <c r="H7" s="7">
        <v>46252</v>
      </c>
      <c r="I7" s="7">
        <v>46252</v>
      </c>
      <c r="J7" s="6">
        <f>NETWORKDAYS(H7,I7)</f>
        <v>1</v>
      </c>
      <c r="K7" s="6"/>
      <c r="L7" s="6"/>
    </row>
    <row r="8" spans="1:12" ht="15" customHeight="1">
      <c r="A8" s="6" t="s">
        <v>29</v>
      </c>
      <c r="B8" s="6" t="s">
        <v>30</v>
      </c>
      <c r="C8" s="6" t="s">
        <v>21</v>
      </c>
      <c r="D8" s="6" t="s">
        <v>31</v>
      </c>
      <c r="E8" s="6" t="s">
        <v>32</v>
      </c>
      <c r="F8" s="6" t="s">
        <v>24</v>
      </c>
      <c r="G8" s="6" t="s">
        <v>33</v>
      </c>
      <c r="H8" s="7">
        <v>46253</v>
      </c>
      <c r="I8" s="7">
        <v>46253</v>
      </c>
      <c r="J8" s="6">
        <f>NETWORKDAYS(H8,I8)</f>
        <v>1</v>
      </c>
      <c r="K8" s="6"/>
      <c r="L8" s="6"/>
    </row>
    <row r="9" spans="1:12" ht="54.75" customHeight="1">
      <c r="A9" s="8"/>
      <c r="B9" s="8"/>
      <c r="C9" s="8"/>
      <c r="D9" s="9" t="s">
        <v>34</v>
      </c>
      <c r="E9" s="10" t="s">
        <v>35</v>
      </c>
      <c r="F9" s="8"/>
      <c r="G9" s="8"/>
      <c r="H9" s="8"/>
      <c r="I9" s="8"/>
      <c r="J9" s="8"/>
      <c r="K9" s="8"/>
      <c r="L9" s="8"/>
    </row>
    <row r="10" spans="1:12" ht="15" customHeight="1">
      <c r="A10" s="11"/>
      <c r="B10" s="11"/>
      <c r="C10" s="11"/>
      <c r="D10" s="12" t="s">
        <v>36</v>
      </c>
      <c r="E10" s="11"/>
      <c r="F10" s="11"/>
      <c r="G10" s="11"/>
      <c r="H10" s="11"/>
      <c r="I10" s="13">
        <v>46253</v>
      </c>
      <c r="J10" s="11"/>
      <c r="K10" s="11"/>
      <c r="L10" s="11"/>
    </row>
    <row r="12" spans="1:12" ht="15" customHeight="1">
      <c r="A12" s="15" t="s">
        <v>37</v>
      </c>
      <c r="B12" s="15"/>
      <c r="C12" s="15"/>
      <c r="D12" s="15"/>
      <c r="E12" s="15"/>
      <c r="F12" s="15"/>
      <c r="G12" s="15"/>
      <c r="H12" s="15"/>
      <c r="I12" s="15"/>
      <c r="J12" s="15"/>
      <c r="K12" s="15"/>
      <c r="L12" s="15"/>
    </row>
    <row r="13" spans="1:12" ht="15" customHeight="1">
      <c r="A13" s="6" t="s">
        <v>38</v>
      </c>
      <c r="B13" s="6" t="s">
        <v>39</v>
      </c>
      <c r="C13" s="6" t="s">
        <v>40</v>
      </c>
      <c r="D13" s="6" t="s">
        <v>41</v>
      </c>
      <c r="E13" s="6" t="s">
        <v>42</v>
      </c>
      <c r="F13" s="6" t="s">
        <v>24</v>
      </c>
      <c r="G13" s="6" t="s">
        <v>43</v>
      </c>
      <c r="H13" s="7">
        <v>46254</v>
      </c>
      <c r="I13" s="7">
        <v>46254</v>
      </c>
      <c r="J13" s="6">
        <f>NETWORKDAYS(H13,I13)</f>
        <v>1</v>
      </c>
      <c r="K13" s="6"/>
      <c r="L13" s="6"/>
    </row>
    <row r="14" spans="1:12" ht="15" customHeight="1">
      <c r="A14" s="6" t="s">
        <v>44</v>
      </c>
      <c r="B14" s="6" t="s">
        <v>45</v>
      </c>
      <c r="C14" s="6" t="s">
        <v>40</v>
      </c>
      <c r="D14" s="6" t="s">
        <v>46</v>
      </c>
      <c r="E14" s="6" t="s">
        <v>42</v>
      </c>
      <c r="F14" s="6" t="s">
        <v>24</v>
      </c>
      <c r="G14" s="6" t="s">
        <v>43</v>
      </c>
      <c r="H14" s="7">
        <v>46255</v>
      </c>
      <c r="I14" s="7">
        <v>46255</v>
      </c>
      <c r="J14" s="6">
        <f>NETWORKDAYS(H14,I14)</f>
        <v>1</v>
      </c>
      <c r="K14" s="6"/>
      <c r="L14" s="6"/>
    </row>
    <row r="15" spans="1:12" ht="15" customHeight="1">
      <c r="A15" s="6" t="s">
        <v>47</v>
      </c>
      <c r="B15" s="6" t="s">
        <v>48</v>
      </c>
      <c r="C15" s="6" t="s">
        <v>40</v>
      </c>
      <c r="D15" s="6" t="s">
        <v>49</v>
      </c>
      <c r="E15" s="6" t="s">
        <v>42</v>
      </c>
      <c r="F15" s="6" t="s">
        <v>24</v>
      </c>
      <c r="G15" s="6" t="s">
        <v>50</v>
      </c>
      <c r="H15" s="7">
        <v>46258</v>
      </c>
      <c r="I15" s="7">
        <v>46258</v>
      </c>
      <c r="J15" s="6">
        <f>NETWORKDAYS(H15,I15)</f>
        <v>1</v>
      </c>
      <c r="K15" s="6"/>
      <c r="L15" s="6"/>
    </row>
    <row r="16" spans="1:12" ht="27.75" customHeight="1">
      <c r="A16" s="6" t="s">
        <v>51</v>
      </c>
      <c r="B16" s="6" t="s">
        <v>52</v>
      </c>
      <c r="C16" s="6" t="s">
        <v>40</v>
      </c>
      <c r="D16" s="6" t="s">
        <v>53</v>
      </c>
      <c r="E16" s="6" t="s">
        <v>42</v>
      </c>
      <c r="F16" s="6" t="s">
        <v>24</v>
      </c>
      <c r="G16" s="6" t="s">
        <v>54</v>
      </c>
      <c r="H16" s="7">
        <v>46259</v>
      </c>
      <c r="I16" s="7">
        <v>46259</v>
      </c>
      <c r="J16" s="6">
        <f>NETWORKDAYS(H16,I16)</f>
        <v>1</v>
      </c>
      <c r="K16" s="6"/>
      <c r="L16" s="6"/>
    </row>
    <row r="17" spans="1:12" ht="27.75" customHeight="1">
      <c r="A17" s="6" t="s">
        <v>55</v>
      </c>
      <c r="B17" s="6" t="s">
        <v>56</v>
      </c>
      <c r="C17" s="6" t="s">
        <v>40</v>
      </c>
      <c r="D17" s="6" t="s">
        <v>57</v>
      </c>
      <c r="E17" s="6" t="s">
        <v>42</v>
      </c>
      <c r="F17" s="6" t="s">
        <v>24</v>
      </c>
      <c r="G17" s="6" t="s">
        <v>58</v>
      </c>
      <c r="H17" s="7">
        <v>46260</v>
      </c>
      <c r="I17" s="7">
        <v>46260</v>
      </c>
      <c r="J17" s="6">
        <f>NETWORKDAYS(H17,I17)</f>
        <v>1</v>
      </c>
      <c r="K17" s="6"/>
      <c r="L17" s="6"/>
    </row>
    <row r="18" spans="1:12" ht="15" customHeight="1">
      <c r="A18" s="6" t="s">
        <v>59</v>
      </c>
      <c r="B18" s="6" t="s">
        <v>60</v>
      </c>
      <c r="C18" s="6" t="s">
        <v>40</v>
      </c>
      <c r="D18" s="6" t="s">
        <v>61</v>
      </c>
      <c r="E18" s="6" t="s">
        <v>42</v>
      </c>
      <c r="F18" s="6" t="s">
        <v>24</v>
      </c>
      <c r="G18" s="6" t="s">
        <v>58</v>
      </c>
      <c r="H18" s="7">
        <v>46261</v>
      </c>
      <c r="I18" s="7">
        <v>46261</v>
      </c>
      <c r="J18" s="6">
        <f>NETWORKDAYS(H18,I18)</f>
        <v>1</v>
      </c>
      <c r="K18" s="6"/>
      <c r="L18" s="6"/>
    </row>
    <row r="19" spans="1:12" ht="15" customHeight="1">
      <c r="A19" s="6" t="s">
        <v>62</v>
      </c>
      <c r="B19" s="6" t="s">
        <v>63</v>
      </c>
      <c r="C19" s="6" t="s">
        <v>40</v>
      </c>
      <c r="D19" s="6" t="s">
        <v>64</v>
      </c>
      <c r="E19" s="6" t="s">
        <v>42</v>
      </c>
      <c r="F19" s="6" t="s">
        <v>24</v>
      </c>
      <c r="G19" s="6" t="s">
        <v>60</v>
      </c>
      <c r="H19" s="7">
        <v>46262</v>
      </c>
      <c r="I19" s="7">
        <v>46262</v>
      </c>
      <c r="J19" s="6">
        <f>NETWORKDAYS(H19,I19)</f>
        <v>1</v>
      </c>
      <c r="K19" s="6"/>
      <c r="L19" s="6"/>
    </row>
    <row r="20" spans="1:12" ht="15" customHeight="1">
      <c r="A20" s="6" t="s">
        <v>65</v>
      </c>
      <c r="B20" s="6" t="s">
        <v>66</v>
      </c>
      <c r="C20" s="6" t="s">
        <v>40</v>
      </c>
      <c r="D20" s="6" t="s">
        <v>67</v>
      </c>
      <c r="E20" s="6" t="s">
        <v>42</v>
      </c>
      <c r="F20" s="6" t="s">
        <v>24</v>
      </c>
      <c r="G20" s="6" t="s">
        <v>54</v>
      </c>
      <c r="H20" s="7">
        <v>46265</v>
      </c>
      <c r="I20" s="7">
        <v>46265</v>
      </c>
      <c r="J20" s="6">
        <f>NETWORKDAYS(H20,I20)</f>
        <v>1</v>
      </c>
      <c r="K20" s="6"/>
      <c r="L20" s="6"/>
    </row>
    <row r="21" spans="1:12" ht="15" customHeight="1">
      <c r="A21" s="6" t="s">
        <v>68</v>
      </c>
      <c r="B21" s="6" t="s">
        <v>69</v>
      </c>
      <c r="C21" s="6" t="s">
        <v>40</v>
      </c>
      <c r="D21" s="6" t="s">
        <v>70</v>
      </c>
      <c r="E21" s="6" t="s">
        <v>42</v>
      </c>
      <c r="F21" s="6" t="s">
        <v>24</v>
      </c>
      <c r="G21" s="6" t="s">
        <v>66</v>
      </c>
      <c r="H21" s="7">
        <v>46266</v>
      </c>
      <c r="I21" s="7">
        <v>46266</v>
      </c>
      <c r="J21" s="6">
        <f>NETWORKDAYS(H21,I21)</f>
        <v>1</v>
      </c>
      <c r="K21" s="6"/>
      <c r="L21" s="6"/>
    </row>
    <row r="22" spans="1:12" ht="15" customHeight="1">
      <c r="A22" s="6" t="s">
        <v>71</v>
      </c>
      <c r="B22" s="6" t="s">
        <v>72</v>
      </c>
      <c r="C22" s="6" t="s">
        <v>40</v>
      </c>
      <c r="D22" s="6" t="s">
        <v>73</v>
      </c>
      <c r="E22" s="6" t="s">
        <v>42</v>
      </c>
      <c r="F22" s="6" t="s">
        <v>24</v>
      </c>
      <c r="G22" s="6" t="s">
        <v>25</v>
      </c>
      <c r="H22" s="7">
        <v>46267</v>
      </c>
      <c r="I22" s="7">
        <v>46267</v>
      </c>
      <c r="J22" s="6">
        <f>NETWORKDAYS(H22,I22)</f>
        <v>1</v>
      </c>
      <c r="K22" s="6"/>
      <c r="L22" s="6"/>
    </row>
    <row r="23" spans="1:12" ht="95.25" customHeight="1">
      <c r="A23" s="8"/>
      <c r="B23" s="8"/>
      <c r="C23" s="8"/>
      <c r="D23" s="9" t="s">
        <v>34</v>
      </c>
      <c r="E23" s="10" t="s">
        <v>74</v>
      </c>
      <c r="F23" s="8"/>
      <c r="G23" s="8"/>
      <c r="H23" s="8"/>
      <c r="I23" s="8"/>
      <c r="J23" s="8"/>
      <c r="K23" s="8"/>
      <c r="L23" s="8"/>
    </row>
    <row r="24" spans="1:12" ht="15" customHeight="1">
      <c r="A24" s="11"/>
      <c r="B24" s="11"/>
      <c r="C24" s="11"/>
      <c r="D24" s="12" t="s">
        <v>75</v>
      </c>
      <c r="E24" s="11"/>
      <c r="F24" s="11"/>
      <c r="G24" s="11"/>
      <c r="H24" s="11"/>
      <c r="I24" s="13">
        <v>46267</v>
      </c>
      <c r="J24" s="11"/>
      <c r="K24" s="11"/>
      <c r="L24" s="11"/>
    </row>
    <row r="26" spans="1:12" ht="15" customHeight="1">
      <c r="A26" s="15" t="s">
        <v>76</v>
      </c>
      <c r="B26" s="15"/>
      <c r="C26" s="15"/>
      <c r="D26" s="15"/>
      <c r="E26" s="15"/>
      <c r="F26" s="15"/>
      <c r="G26" s="15"/>
      <c r="H26" s="15"/>
      <c r="I26" s="15"/>
      <c r="J26" s="15"/>
      <c r="K26" s="15"/>
      <c r="L26" s="15"/>
    </row>
    <row r="27" spans="1:12" ht="41.25" customHeight="1">
      <c r="A27" s="6" t="s">
        <v>77</v>
      </c>
      <c r="B27" s="6" t="s">
        <v>78</v>
      </c>
      <c r="C27" s="6" t="s">
        <v>79</v>
      </c>
      <c r="D27" s="6" t="s">
        <v>80</v>
      </c>
      <c r="E27" s="6" t="s">
        <v>42</v>
      </c>
      <c r="F27" s="6" t="s">
        <v>81</v>
      </c>
      <c r="G27" s="6" t="s">
        <v>82</v>
      </c>
      <c r="H27" s="7">
        <v>46267</v>
      </c>
      <c r="I27" s="7">
        <v>46267</v>
      </c>
      <c r="J27" s="6">
        <f>NETWORKDAYS(H27,I27)</f>
        <v>1</v>
      </c>
      <c r="K27" s="6"/>
      <c r="L27" s="6"/>
    </row>
    <row r="28" spans="1:12" ht="27.75" customHeight="1">
      <c r="A28" s="6" t="s">
        <v>83</v>
      </c>
      <c r="B28" s="6" t="s">
        <v>84</v>
      </c>
      <c r="C28" s="6" t="s">
        <v>79</v>
      </c>
      <c r="D28" s="6" t="s">
        <v>85</v>
      </c>
      <c r="E28" s="6" t="s">
        <v>42</v>
      </c>
      <c r="F28" s="6" t="s">
        <v>81</v>
      </c>
      <c r="G28" s="6" t="s">
        <v>78</v>
      </c>
      <c r="H28" s="7">
        <v>46268</v>
      </c>
      <c r="I28" s="7">
        <v>46268</v>
      </c>
      <c r="J28" s="6">
        <f>NETWORKDAYS(H28,I28)</f>
        <v>1</v>
      </c>
      <c r="K28" s="6"/>
      <c r="L28" s="6"/>
    </row>
    <row r="29" spans="1:12" ht="27.75" customHeight="1">
      <c r="A29" s="6" t="s">
        <v>86</v>
      </c>
      <c r="B29" s="6" t="s">
        <v>87</v>
      </c>
      <c r="C29" s="6" t="s">
        <v>79</v>
      </c>
      <c r="D29" s="6" t="s">
        <v>88</v>
      </c>
      <c r="E29" s="6" t="s">
        <v>42</v>
      </c>
      <c r="F29" s="6" t="s">
        <v>81</v>
      </c>
      <c r="G29" s="6" t="s">
        <v>78</v>
      </c>
      <c r="H29" s="7">
        <v>46269</v>
      </c>
      <c r="I29" s="7">
        <v>46269</v>
      </c>
      <c r="J29" s="6">
        <f>NETWORKDAYS(H29,I29)</f>
        <v>1</v>
      </c>
      <c r="K29" s="6"/>
      <c r="L29" s="6"/>
    </row>
    <row r="30" spans="1:12" ht="15" customHeight="1">
      <c r="A30" s="6" t="s">
        <v>89</v>
      </c>
      <c r="B30" s="6" t="s">
        <v>90</v>
      </c>
      <c r="C30" s="6" t="s">
        <v>79</v>
      </c>
      <c r="D30" s="6" t="s">
        <v>91</v>
      </c>
      <c r="E30" s="6" t="s">
        <v>42</v>
      </c>
      <c r="F30" s="6" t="s">
        <v>92</v>
      </c>
      <c r="G30" s="6" t="s">
        <v>93</v>
      </c>
      <c r="H30" s="7">
        <v>46272</v>
      </c>
      <c r="I30" s="7">
        <v>46272</v>
      </c>
      <c r="J30" s="6">
        <f>NETWORKDAYS(H30,I30)</f>
        <v>1</v>
      </c>
      <c r="K30" s="6"/>
      <c r="L30" s="6"/>
    </row>
    <row r="31" spans="1:12" ht="27.75" customHeight="1">
      <c r="A31" s="6" t="s">
        <v>94</v>
      </c>
      <c r="B31" s="6" t="s">
        <v>95</v>
      </c>
      <c r="C31" s="6" t="s">
        <v>79</v>
      </c>
      <c r="D31" s="6" t="s">
        <v>96</v>
      </c>
      <c r="E31" s="6" t="s">
        <v>42</v>
      </c>
      <c r="F31" s="6" t="s">
        <v>81</v>
      </c>
      <c r="G31" s="6" t="s">
        <v>90</v>
      </c>
      <c r="H31" s="7">
        <v>46273</v>
      </c>
      <c r="I31" s="7">
        <v>46273</v>
      </c>
      <c r="J31" s="6">
        <f>NETWORKDAYS(H31,I31)</f>
        <v>1</v>
      </c>
      <c r="K31" s="6"/>
      <c r="L31" s="6"/>
    </row>
    <row r="32" spans="1:12" ht="15" customHeight="1">
      <c r="A32" s="6" t="s">
        <v>97</v>
      </c>
      <c r="B32" s="6" t="s">
        <v>98</v>
      </c>
      <c r="C32" s="6" t="s">
        <v>79</v>
      </c>
      <c r="D32" s="6" t="s">
        <v>99</v>
      </c>
      <c r="E32" s="6" t="s">
        <v>42</v>
      </c>
      <c r="F32" s="6" t="s">
        <v>81</v>
      </c>
      <c r="G32" s="6" t="s">
        <v>95</v>
      </c>
      <c r="H32" s="7">
        <v>46274</v>
      </c>
      <c r="I32" s="7">
        <v>46274</v>
      </c>
      <c r="J32" s="6">
        <f>NETWORKDAYS(H32,I32)</f>
        <v>1</v>
      </c>
      <c r="K32" s="6"/>
      <c r="L32" s="6"/>
    </row>
    <row r="33" spans="1:12" ht="27.75" customHeight="1">
      <c r="A33" s="6" t="s">
        <v>100</v>
      </c>
      <c r="B33" s="6" t="s">
        <v>101</v>
      </c>
      <c r="C33" s="6" t="s">
        <v>79</v>
      </c>
      <c r="D33" s="6" t="s">
        <v>102</v>
      </c>
      <c r="E33" s="6" t="s">
        <v>42</v>
      </c>
      <c r="F33" s="6" t="s">
        <v>81</v>
      </c>
      <c r="G33" s="6" t="s">
        <v>98</v>
      </c>
      <c r="H33" s="7">
        <v>46275</v>
      </c>
      <c r="I33" s="7">
        <v>46275</v>
      </c>
      <c r="J33" s="6">
        <f>NETWORKDAYS(H33,I33)</f>
        <v>1</v>
      </c>
      <c r="K33" s="6"/>
      <c r="L33" s="6"/>
    </row>
    <row r="34" spans="1:12" ht="68.25" customHeight="1">
      <c r="A34" s="8"/>
      <c r="B34" s="8"/>
      <c r="C34" s="8"/>
      <c r="D34" s="9" t="s">
        <v>34</v>
      </c>
      <c r="E34" s="10" t="s">
        <v>103</v>
      </c>
      <c r="F34" s="8"/>
      <c r="G34" s="8"/>
      <c r="H34" s="8"/>
      <c r="I34" s="8"/>
      <c r="J34" s="8"/>
      <c r="K34" s="8"/>
      <c r="L34" s="8"/>
    </row>
    <row r="35" spans="1:12" ht="15" customHeight="1">
      <c r="A35" s="11"/>
      <c r="B35" s="11"/>
      <c r="C35" s="11"/>
      <c r="D35" s="12" t="s">
        <v>104</v>
      </c>
      <c r="E35" s="11"/>
      <c r="F35" s="11"/>
      <c r="G35" s="11"/>
      <c r="H35" s="11"/>
      <c r="I35" s="13">
        <v>46275</v>
      </c>
      <c r="J35" s="11"/>
      <c r="K35" s="11"/>
      <c r="L35" s="11"/>
    </row>
    <row r="37" spans="1:12" ht="15" customHeight="1">
      <c r="A37" s="15" t="s">
        <v>105</v>
      </c>
      <c r="B37" s="15"/>
      <c r="C37" s="15"/>
      <c r="D37" s="15"/>
      <c r="E37" s="15"/>
      <c r="F37" s="15"/>
      <c r="G37" s="15"/>
      <c r="H37" s="15"/>
      <c r="I37" s="15"/>
      <c r="J37" s="15"/>
      <c r="K37" s="15"/>
      <c r="L37" s="15"/>
    </row>
    <row r="38" spans="1:12" ht="15" customHeight="1">
      <c r="A38" s="6" t="s">
        <v>106</v>
      </c>
      <c r="B38" s="6" t="s">
        <v>107</v>
      </c>
      <c r="C38" s="6" t="s">
        <v>108</v>
      </c>
      <c r="D38" s="6" t="s">
        <v>109</v>
      </c>
      <c r="E38" s="6" t="s">
        <v>42</v>
      </c>
      <c r="F38" s="6" t="s">
        <v>110</v>
      </c>
      <c r="G38" s="6" t="s">
        <v>98</v>
      </c>
      <c r="H38" s="7">
        <v>46275</v>
      </c>
      <c r="I38" s="7">
        <v>46275</v>
      </c>
      <c r="J38" s="6">
        <f>NETWORKDAYS(H38,I38)</f>
        <v>1</v>
      </c>
      <c r="K38" s="6"/>
      <c r="L38" s="6"/>
    </row>
    <row r="39" spans="1:12" ht="15" customHeight="1">
      <c r="A39" s="6" t="s">
        <v>111</v>
      </c>
      <c r="B39" s="6" t="s">
        <v>112</v>
      </c>
      <c r="C39" s="6" t="s">
        <v>108</v>
      </c>
      <c r="D39" s="6" t="s">
        <v>113</v>
      </c>
      <c r="E39" s="6" t="s">
        <v>42</v>
      </c>
      <c r="F39" s="6" t="s">
        <v>110</v>
      </c>
      <c r="G39" s="6" t="s">
        <v>107</v>
      </c>
      <c r="H39" s="7">
        <v>46276</v>
      </c>
      <c r="I39" s="7">
        <v>46276</v>
      </c>
      <c r="J39" s="6">
        <f>NETWORKDAYS(H39,I39)</f>
        <v>1</v>
      </c>
      <c r="K39" s="6"/>
      <c r="L39" s="6"/>
    </row>
    <row r="40" spans="1:12" ht="15" customHeight="1">
      <c r="A40" s="6" t="s">
        <v>114</v>
      </c>
      <c r="B40" s="6" t="s">
        <v>115</v>
      </c>
      <c r="C40" s="6" t="s">
        <v>108</v>
      </c>
      <c r="D40" s="6" t="s">
        <v>116</v>
      </c>
      <c r="E40" s="6" t="s">
        <v>42</v>
      </c>
      <c r="F40" s="6" t="s">
        <v>110</v>
      </c>
      <c r="G40" s="6" t="s">
        <v>112</v>
      </c>
      <c r="H40" s="7">
        <v>46279</v>
      </c>
      <c r="I40" s="7">
        <v>46279</v>
      </c>
      <c r="J40" s="6">
        <f>NETWORKDAYS(H40,I40)</f>
        <v>1</v>
      </c>
      <c r="K40" s="6"/>
      <c r="L40" s="6"/>
    </row>
    <row r="41" spans="1:12" ht="15" customHeight="1">
      <c r="A41" s="6" t="s">
        <v>117</v>
      </c>
      <c r="B41" s="6" t="s">
        <v>118</v>
      </c>
      <c r="C41" s="6" t="s">
        <v>108</v>
      </c>
      <c r="D41" s="6" t="s">
        <v>119</v>
      </c>
      <c r="E41" s="6" t="s">
        <v>42</v>
      </c>
      <c r="F41" s="6" t="s">
        <v>110</v>
      </c>
      <c r="G41" s="6" t="s">
        <v>112</v>
      </c>
      <c r="H41" s="7">
        <v>46280</v>
      </c>
      <c r="I41" s="7">
        <v>46280</v>
      </c>
      <c r="J41" s="6">
        <f>NETWORKDAYS(H41,I41)</f>
        <v>1</v>
      </c>
      <c r="K41" s="6"/>
      <c r="L41" s="6"/>
    </row>
    <row r="42" spans="1:12" ht="15" customHeight="1">
      <c r="A42" s="6" t="s">
        <v>120</v>
      </c>
      <c r="B42" s="6" t="s">
        <v>121</v>
      </c>
      <c r="C42" s="6" t="s">
        <v>108</v>
      </c>
      <c r="D42" s="6" t="s">
        <v>122</v>
      </c>
      <c r="E42" s="6" t="s">
        <v>42</v>
      </c>
      <c r="F42" s="6" t="s">
        <v>110</v>
      </c>
      <c r="G42" s="6" t="s">
        <v>112</v>
      </c>
      <c r="H42" s="7">
        <v>46281</v>
      </c>
      <c r="I42" s="7">
        <v>46281</v>
      </c>
      <c r="J42" s="6">
        <f>NETWORKDAYS(H42,I42)</f>
        <v>1</v>
      </c>
      <c r="K42" s="6"/>
      <c r="L42" s="6"/>
    </row>
    <row r="43" spans="1:12" ht="15" customHeight="1">
      <c r="A43" s="6" t="s">
        <v>123</v>
      </c>
      <c r="B43" s="6" t="s">
        <v>124</v>
      </c>
      <c r="C43" s="6" t="s">
        <v>108</v>
      </c>
      <c r="D43" s="6" t="s">
        <v>125</v>
      </c>
      <c r="E43" s="6" t="s">
        <v>42</v>
      </c>
      <c r="F43" s="6" t="s">
        <v>110</v>
      </c>
      <c r="G43" s="6" t="s">
        <v>112</v>
      </c>
      <c r="H43" s="7">
        <v>46282</v>
      </c>
      <c r="I43" s="7">
        <v>46282</v>
      </c>
      <c r="J43" s="6">
        <f>NETWORKDAYS(H43,I43)</f>
        <v>1</v>
      </c>
      <c r="K43" s="6"/>
      <c r="L43" s="6"/>
    </row>
    <row r="44" spans="1:12" ht="15" customHeight="1">
      <c r="A44" s="6" t="s">
        <v>126</v>
      </c>
      <c r="B44" s="6" t="s">
        <v>127</v>
      </c>
      <c r="C44" s="6" t="s">
        <v>108</v>
      </c>
      <c r="D44" s="6" t="s">
        <v>128</v>
      </c>
      <c r="E44" s="6" t="s">
        <v>42</v>
      </c>
      <c r="F44" s="6" t="s">
        <v>129</v>
      </c>
      <c r="G44" s="6" t="s">
        <v>112</v>
      </c>
      <c r="H44" s="7">
        <v>46279</v>
      </c>
      <c r="I44" s="7">
        <v>46279</v>
      </c>
      <c r="J44" s="6">
        <f>NETWORKDAYS(H44,I44)</f>
        <v>1</v>
      </c>
      <c r="K44" s="6"/>
      <c r="L44" s="6"/>
    </row>
    <row r="45" spans="1:12" ht="95.25" customHeight="1">
      <c r="A45" s="8"/>
      <c r="B45" s="8"/>
      <c r="C45" s="8"/>
      <c r="D45" s="9" t="s">
        <v>34</v>
      </c>
      <c r="E45" s="10" t="s">
        <v>130</v>
      </c>
      <c r="F45" s="8"/>
      <c r="G45" s="8"/>
      <c r="H45" s="8"/>
      <c r="I45" s="8"/>
      <c r="J45" s="8"/>
      <c r="K45" s="8"/>
      <c r="L45" s="8"/>
    </row>
    <row r="46" spans="1:12" ht="15" customHeight="1">
      <c r="A46" s="11"/>
      <c r="B46" s="11"/>
      <c r="C46" s="11"/>
      <c r="D46" s="12" t="s">
        <v>131</v>
      </c>
      <c r="E46" s="11"/>
      <c r="F46" s="11"/>
      <c r="G46" s="11"/>
      <c r="H46" s="11"/>
      <c r="I46" s="13">
        <v>46282</v>
      </c>
      <c r="J46" s="11"/>
      <c r="K46" s="11"/>
      <c r="L46" s="11"/>
    </row>
    <row r="48" spans="1:12" ht="15" customHeight="1">
      <c r="A48" s="15" t="s">
        <v>132</v>
      </c>
      <c r="B48" s="15"/>
      <c r="C48" s="15"/>
      <c r="D48" s="15"/>
      <c r="E48" s="15"/>
      <c r="F48" s="15"/>
      <c r="G48" s="15"/>
      <c r="H48" s="15"/>
      <c r="I48" s="15"/>
      <c r="J48" s="15"/>
      <c r="K48" s="15"/>
      <c r="L48" s="15"/>
    </row>
    <row r="49" spans="1:12" ht="15" customHeight="1">
      <c r="A49" s="6" t="s">
        <v>133</v>
      </c>
      <c r="B49" s="6" t="s">
        <v>134</v>
      </c>
      <c r="C49" s="6" t="s">
        <v>135</v>
      </c>
      <c r="D49" s="6" t="s">
        <v>136</v>
      </c>
      <c r="E49" s="6" t="s">
        <v>42</v>
      </c>
      <c r="F49" s="6" t="s">
        <v>110</v>
      </c>
      <c r="G49" s="6" t="s">
        <v>137</v>
      </c>
      <c r="H49" s="7">
        <v>46283</v>
      </c>
      <c r="I49" s="7">
        <v>46286</v>
      </c>
      <c r="J49" s="6">
        <f>NETWORKDAYS(H49,I49)</f>
        <v>2</v>
      </c>
      <c r="K49" s="6"/>
      <c r="L49" s="6"/>
    </row>
    <row r="50" spans="1:12" ht="27.75" customHeight="1">
      <c r="A50" s="6" t="s">
        <v>138</v>
      </c>
      <c r="B50" s="6" t="s">
        <v>139</v>
      </c>
      <c r="C50" s="6" t="s">
        <v>135</v>
      </c>
      <c r="D50" s="6" t="s">
        <v>140</v>
      </c>
      <c r="E50" s="6" t="s">
        <v>42</v>
      </c>
      <c r="F50" s="6" t="s">
        <v>129</v>
      </c>
      <c r="G50" s="6" t="s">
        <v>141</v>
      </c>
      <c r="H50" s="7">
        <v>46282</v>
      </c>
      <c r="I50" s="7">
        <v>46283</v>
      </c>
      <c r="J50" s="6">
        <f>NETWORKDAYS(H50,I50)</f>
        <v>2</v>
      </c>
      <c r="K50" s="6"/>
      <c r="L50" s="6"/>
    </row>
    <row r="51" spans="1:12" ht="15" customHeight="1">
      <c r="A51" s="6" t="s">
        <v>142</v>
      </c>
      <c r="B51" s="6" t="s">
        <v>143</v>
      </c>
      <c r="C51" s="6" t="s">
        <v>135</v>
      </c>
      <c r="D51" s="6" t="s">
        <v>144</v>
      </c>
      <c r="E51" s="6" t="s">
        <v>42</v>
      </c>
      <c r="F51" s="6" t="s">
        <v>145</v>
      </c>
      <c r="G51" s="6" t="s">
        <v>146</v>
      </c>
      <c r="H51" s="7">
        <v>46287</v>
      </c>
      <c r="I51" s="7">
        <v>46288</v>
      </c>
      <c r="J51" s="6">
        <f>NETWORKDAYS(H51,I51)</f>
        <v>2</v>
      </c>
      <c r="K51" s="6"/>
      <c r="L51" s="6"/>
    </row>
    <row r="52" spans="1:12" ht="95.25" customHeight="1">
      <c r="A52" s="8"/>
      <c r="B52" s="8"/>
      <c r="C52" s="8"/>
      <c r="D52" s="9" t="s">
        <v>34</v>
      </c>
      <c r="E52" s="10" t="s">
        <v>147</v>
      </c>
      <c r="F52" s="8"/>
      <c r="G52" s="8"/>
      <c r="H52" s="8"/>
      <c r="I52" s="8"/>
      <c r="J52" s="8"/>
      <c r="K52" s="8"/>
      <c r="L52" s="8"/>
    </row>
    <row r="53" spans="1:12" ht="15" customHeight="1">
      <c r="A53" s="11"/>
      <c r="B53" s="11"/>
      <c r="C53" s="11"/>
      <c r="D53" s="12" t="s">
        <v>148</v>
      </c>
      <c r="E53" s="11"/>
      <c r="F53" s="11"/>
      <c r="G53" s="11"/>
      <c r="H53" s="11"/>
      <c r="I53" s="13">
        <v>46288</v>
      </c>
      <c r="J53" s="11"/>
      <c r="K53" s="11"/>
      <c r="L53" s="11"/>
    </row>
    <row r="55" spans="1:12" ht="15" customHeight="1">
      <c r="A55" s="15" t="s">
        <v>149</v>
      </c>
      <c r="B55" s="15"/>
      <c r="C55" s="15"/>
      <c r="D55" s="15"/>
      <c r="E55" s="15"/>
      <c r="F55" s="15"/>
      <c r="G55" s="15"/>
      <c r="H55" s="15"/>
      <c r="I55" s="15"/>
      <c r="J55" s="15"/>
      <c r="K55" s="15"/>
      <c r="L55" s="15"/>
    </row>
    <row r="56" spans="1:12" ht="15" customHeight="1">
      <c r="A56" s="6" t="s">
        <v>150</v>
      </c>
      <c r="B56" s="6" t="s">
        <v>151</v>
      </c>
      <c r="C56" s="6" t="s">
        <v>152</v>
      </c>
      <c r="D56" s="6" t="s">
        <v>153</v>
      </c>
      <c r="E56" s="6" t="s">
        <v>42</v>
      </c>
      <c r="F56" s="6" t="s">
        <v>154</v>
      </c>
      <c r="G56" s="6" t="s">
        <v>134</v>
      </c>
      <c r="H56" s="7">
        <v>46287</v>
      </c>
      <c r="I56" s="7">
        <v>46287</v>
      </c>
      <c r="J56" s="6">
        <f>NETWORKDAYS(H56,I56)</f>
        <v>1</v>
      </c>
      <c r="K56" s="6"/>
      <c r="L56" s="6"/>
    </row>
    <row r="57" spans="1:12" ht="15" customHeight="1">
      <c r="A57" s="6" t="s">
        <v>155</v>
      </c>
      <c r="B57" s="6" t="s">
        <v>156</v>
      </c>
      <c r="C57" s="6" t="s">
        <v>152</v>
      </c>
      <c r="D57" s="6" t="s">
        <v>157</v>
      </c>
      <c r="E57" s="6" t="s">
        <v>42</v>
      </c>
      <c r="F57" s="6" t="s">
        <v>154</v>
      </c>
      <c r="G57" s="6" t="s">
        <v>151</v>
      </c>
      <c r="H57" s="7">
        <v>46288</v>
      </c>
      <c r="I57" s="7">
        <v>46288</v>
      </c>
      <c r="J57" s="6">
        <f>NETWORKDAYS(H57,I57)</f>
        <v>1</v>
      </c>
      <c r="K57" s="6"/>
      <c r="L57" s="6"/>
    </row>
    <row r="58" spans="1:12" ht="15" customHeight="1">
      <c r="A58" s="6" t="s">
        <v>158</v>
      </c>
      <c r="B58" s="6" t="s">
        <v>159</v>
      </c>
      <c r="C58" s="6" t="s">
        <v>152</v>
      </c>
      <c r="D58" s="6" t="s">
        <v>160</v>
      </c>
      <c r="E58" s="6" t="s">
        <v>42</v>
      </c>
      <c r="F58" s="6" t="s">
        <v>129</v>
      </c>
      <c r="G58" s="6" t="s">
        <v>161</v>
      </c>
      <c r="H58" s="7">
        <v>46289</v>
      </c>
      <c r="I58" s="7">
        <v>46289</v>
      </c>
      <c r="J58" s="6">
        <f>NETWORKDAYS(H58,I58)</f>
        <v>1</v>
      </c>
      <c r="K58" s="6"/>
      <c r="L58" s="6"/>
    </row>
    <row r="59" spans="1:12" ht="15" customHeight="1">
      <c r="A59" s="6" t="s">
        <v>162</v>
      </c>
      <c r="B59" s="6" t="s">
        <v>163</v>
      </c>
      <c r="C59" s="6" t="s">
        <v>152</v>
      </c>
      <c r="D59" s="6" t="s">
        <v>164</v>
      </c>
      <c r="E59" s="6" t="s">
        <v>42</v>
      </c>
      <c r="F59" s="6" t="s">
        <v>154</v>
      </c>
      <c r="G59" s="6" t="s">
        <v>156</v>
      </c>
      <c r="H59" s="7">
        <v>46289</v>
      </c>
      <c r="I59" s="7">
        <v>46289</v>
      </c>
      <c r="J59" s="6">
        <f>NETWORKDAYS(H59,I59)</f>
        <v>1</v>
      </c>
      <c r="K59" s="6"/>
      <c r="L59" s="6"/>
    </row>
    <row r="60" spans="1:12" ht="15" customHeight="1">
      <c r="A60" s="6" t="s">
        <v>165</v>
      </c>
      <c r="B60" s="6" t="s">
        <v>166</v>
      </c>
      <c r="C60" s="6" t="s">
        <v>152</v>
      </c>
      <c r="D60" s="6" t="s">
        <v>167</v>
      </c>
      <c r="E60" s="6" t="s">
        <v>42</v>
      </c>
      <c r="F60" s="6" t="s">
        <v>110</v>
      </c>
      <c r="G60" s="6" t="s">
        <v>151</v>
      </c>
      <c r="H60" s="7">
        <v>46288</v>
      </c>
      <c r="I60" s="7">
        <v>46288</v>
      </c>
      <c r="J60" s="6">
        <f>NETWORKDAYS(H60,I60)</f>
        <v>1</v>
      </c>
      <c r="K60" s="6"/>
      <c r="L60" s="6"/>
    </row>
    <row r="61" spans="1:12" ht="81.75" customHeight="1">
      <c r="A61" s="8"/>
      <c r="B61" s="8"/>
      <c r="C61" s="8"/>
      <c r="D61" s="9" t="s">
        <v>34</v>
      </c>
      <c r="E61" s="10" t="s">
        <v>168</v>
      </c>
      <c r="F61" s="8"/>
      <c r="G61" s="8"/>
      <c r="H61" s="8"/>
      <c r="I61" s="8"/>
      <c r="J61" s="8"/>
      <c r="K61" s="8"/>
      <c r="L61" s="8"/>
    </row>
    <row r="62" spans="1:12" ht="15" customHeight="1">
      <c r="A62" s="11"/>
      <c r="B62" s="11"/>
      <c r="C62" s="11"/>
      <c r="D62" s="12" t="s">
        <v>169</v>
      </c>
      <c r="E62" s="11"/>
      <c r="F62" s="11"/>
      <c r="G62" s="11"/>
      <c r="H62" s="11"/>
      <c r="I62" s="13">
        <v>46289</v>
      </c>
      <c r="J62" s="11"/>
      <c r="K62" s="11"/>
      <c r="L62" s="11"/>
    </row>
    <row r="64" spans="1:12" ht="15" customHeight="1">
      <c r="A64" s="15" t="s">
        <v>170</v>
      </c>
      <c r="B64" s="15"/>
      <c r="C64" s="15"/>
      <c r="D64" s="15"/>
      <c r="E64" s="15"/>
      <c r="F64" s="15"/>
      <c r="G64" s="15"/>
      <c r="H64" s="15"/>
      <c r="I64" s="15"/>
      <c r="J64" s="15"/>
      <c r="K64" s="15"/>
      <c r="L64" s="15"/>
    </row>
    <row r="65" spans="1:12" ht="27.75" customHeight="1">
      <c r="A65" s="6" t="s">
        <v>171</v>
      </c>
      <c r="B65" s="6" t="s">
        <v>172</v>
      </c>
      <c r="C65" s="6" t="s">
        <v>173</v>
      </c>
      <c r="D65" s="6" t="s">
        <v>174</v>
      </c>
      <c r="E65" s="6" t="s">
        <v>42</v>
      </c>
      <c r="F65" s="6" t="s">
        <v>175</v>
      </c>
      <c r="G65" s="6" t="s">
        <v>176</v>
      </c>
      <c r="H65" s="7">
        <v>46290</v>
      </c>
      <c r="I65" s="7">
        <v>46290</v>
      </c>
      <c r="J65" s="6">
        <f>NETWORKDAYS(H65,I65)</f>
        <v>1</v>
      </c>
      <c r="K65" s="6"/>
      <c r="L65" s="6"/>
    </row>
    <row r="66" spans="1:12" ht="15" customHeight="1">
      <c r="A66" s="6" t="s">
        <v>177</v>
      </c>
      <c r="B66" s="6" t="s">
        <v>178</v>
      </c>
      <c r="C66" s="6" t="s">
        <v>173</v>
      </c>
      <c r="D66" s="6" t="s">
        <v>179</v>
      </c>
      <c r="E66" s="6" t="s">
        <v>42</v>
      </c>
      <c r="F66" s="6" t="s">
        <v>175</v>
      </c>
      <c r="G66" s="6" t="s">
        <v>172</v>
      </c>
      <c r="H66" s="7">
        <v>46293</v>
      </c>
      <c r="I66" s="7">
        <v>46293</v>
      </c>
      <c r="J66" s="6">
        <f>NETWORKDAYS(H66,I66)</f>
        <v>1</v>
      </c>
      <c r="K66" s="6"/>
      <c r="L66" s="6"/>
    </row>
    <row r="67" spans="1:12" ht="15" customHeight="1">
      <c r="A67" s="6" t="s">
        <v>180</v>
      </c>
      <c r="B67" s="6" t="s">
        <v>181</v>
      </c>
      <c r="C67" s="6" t="s">
        <v>173</v>
      </c>
      <c r="D67" s="6" t="s">
        <v>182</v>
      </c>
      <c r="E67" s="6" t="s">
        <v>42</v>
      </c>
      <c r="F67" s="6" t="s">
        <v>183</v>
      </c>
      <c r="G67" s="6" t="s">
        <v>178</v>
      </c>
      <c r="H67" s="7">
        <v>46294</v>
      </c>
      <c r="I67" s="7">
        <v>46294</v>
      </c>
      <c r="J67" s="6">
        <f>NETWORKDAYS(H67,I67)</f>
        <v>1</v>
      </c>
      <c r="K67" s="6"/>
      <c r="L67" s="6"/>
    </row>
    <row r="68" spans="1:12" ht="27.75" customHeight="1">
      <c r="A68" s="6" t="s">
        <v>184</v>
      </c>
      <c r="B68" s="6" t="s">
        <v>185</v>
      </c>
      <c r="C68" s="6" t="s">
        <v>173</v>
      </c>
      <c r="D68" s="6" t="s">
        <v>186</v>
      </c>
      <c r="E68" s="6" t="s">
        <v>42</v>
      </c>
      <c r="F68" s="6" t="s">
        <v>187</v>
      </c>
      <c r="G68" s="6" t="s">
        <v>181</v>
      </c>
      <c r="H68" s="7">
        <v>46295</v>
      </c>
      <c r="I68" s="7">
        <v>46295</v>
      </c>
      <c r="J68" s="6">
        <f>NETWORKDAYS(H68,I68)</f>
        <v>1</v>
      </c>
      <c r="K68" s="6"/>
      <c r="L68" s="6"/>
    </row>
    <row r="69" spans="1:12" ht="27.75" customHeight="1">
      <c r="A69" s="6" t="s">
        <v>188</v>
      </c>
      <c r="B69" s="6" t="s">
        <v>189</v>
      </c>
      <c r="C69" s="6" t="s">
        <v>173</v>
      </c>
      <c r="D69" s="6" t="s">
        <v>190</v>
      </c>
      <c r="E69" s="6" t="s">
        <v>42</v>
      </c>
      <c r="F69" s="6" t="s">
        <v>175</v>
      </c>
      <c r="G69" s="6" t="s">
        <v>185</v>
      </c>
      <c r="H69" s="7">
        <v>46296</v>
      </c>
      <c r="I69" s="7">
        <v>46296</v>
      </c>
      <c r="J69" s="6">
        <f>NETWORKDAYS(H69,I69)</f>
        <v>1</v>
      </c>
      <c r="K69" s="6"/>
      <c r="L69" s="6"/>
    </row>
    <row r="70" spans="1:12" ht="27.75" customHeight="1">
      <c r="A70" s="6" t="s">
        <v>191</v>
      </c>
      <c r="B70" s="6" t="s">
        <v>192</v>
      </c>
      <c r="C70" s="6" t="s">
        <v>173</v>
      </c>
      <c r="D70" s="6" t="s">
        <v>193</v>
      </c>
      <c r="E70" s="6" t="s">
        <v>42</v>
      </c>
      <c r="F70" s="6" t="s">
        <v>175</v>
      </c>
      <c r="G70" s="6" t="s">
        <v>189</v>
      </c>
      <c r="H70" s="7">
        <v>46297</v>
      </c>
      <c r="I70" s="7">
        <v>46297</v>
      </c>
      <c r="J70" s="6">
        <f>NETWORKDAYS(H70,I70)</f>
        <v>1</v>
      </c>
      <c r="K70" s="6"/>
      <c r="L70" s="6"/>
    </row>
    <row r="71" spans="1:12" ht="27.75" customHeight="1">
      <c r="A71" s="6" t="s">
        <v>194</v>
      </c>
      <c r="B71" s="6" t="s">
        <v>195</v>
      </c>
      <c r="C71" s="6" t="s">
        <v>173</v>
      </c>
      <c r="D71" s="6" t="s">
        <v>196</v>
      </c>
      <c r="E71" s="6" t="s">
        <v>42</v>
      </c>
      <c r="F71" s="6" t="s">
        <v>183</v>
      </c>
      <c r="G71" s="6" t="s">
        <v>192</v>
      </c>
      <c r="H71" s="7">
        <v>46300</v>
      </c>
      <c r="I71" s="7">
        <v>46300</v>
      </c>
      <c r="J71" s="6">
        <f>NETWORKDAYS(H71,I71)</f>
        <v>1</v>
      </c>
      <c r="K71" s="6"/>
      <c r="L71" s="6"/>
    </row>
    <row r="72" spans="1:12" ht="27.75" customHeight="1">
      <c r="A72" s="6" t="s">
        <v>197</v>
      </c>
      <c r="B72" s="6" t="s">
        <v>198</v>
      </c>
      <c r="C72" s="6" t="s">
        <v>173</v>
      </c>
      <c r="D72" s="6" t="s">
        <v>199</v>
      </c>
      <c r="E72" s="6" t="s">
        <v>42</v>
      </c>
      <c r="F72" s="6" t="s">
        <v>187</v>
      </c>
      <c r="G72" s="6" t="s">
        <v>195</v>
      </c>
      <c r="H72" s="7">
        <v>46301</v>
      </c>
      <c r="I72" s="7">
        <v>46301</v>
      </c>
      <c r="J72" s="6">
        <f>NETWORKDAYS(H72,I72)</f>
        <v>1</v>
      </c>
      <c r="K72" s="6"/>
      <c r="L72" s="6"/>
    </row>
    <row r="73" spans="1:12" ht="15" customHeight="1">
      <c r="A73" s="6" t="s">
        <v>200</v>
      </c>
      <c r="B73" s="6" t="s">
        <v>201</v>
      </c>
      <c r="C73" s="6" t="s">
        <v>173</v>
      </c>
      <c r="D73" s="6" t="s">
        <v>202</v>
      </c>
      <c r="E73" s="6" t="s">
        <v>42</v>
      </c>
      <c r="F73" s="6" t="s">
        <v>175</v>
      </c>
      <c r="G73" s="6" t="s">
        <v>203</v>
      </c>
      <c r="H73" s="7">
        <v>46300</v>
      </c>
      <c r="I73" s="7">
        <v>46300</v>
      </c>
      <c r="J73" s="6">
        <f>NETWORKDAYS(H73,I73)</f>
        <v>1</v>
      </c>
      <c r="K73" s="6"/>
      <c r="L73" s="6"/>
    </row>
    <row r="74" spans="1:12" ht="27.75" customHeight="1">
      <c r="A74" s="6" t="s">
        <v>204</v>
      </c>
      <c r="B74" s="6" t="s">
        <v>205</v>
      </c>
      <c r="C74" s="6" t="s">
        <v>173</v>
      </c>
      <c r="D74" s="6" t="s">
        <v>206</v>
      </c>
      <c r="E74" s="6" t="s">
        <v>42</v>
      </c>
      <c r="F74" s="6" t="s">
        <v>183</v>
      </c>
      <c r="G74" s="6" t="s">
        <v>201</v>
      </c>
      <c r="H74" s="7">
        <v>46302</v>
      </c>
      <c r="I74" s="7">
        <v>46302</v>
      </c>
      <c r="J74" s="6">
        <f>NETWORKDAYS(H74,I74)</f>
        <v>1</v>
      </c>
      <c r="K74" s="6"/>
      <c r="L74" s="6"/>
    </row>
    <row r="75" spans="1:12" ht="27.75" customHeight="1">
      <c r="A75" s="6" t="s">
        <v>207</v>
      </c>
      <c r="B75" s="6" t="s">
        <v>208</v>
      </c>
      <c r="C75" s="6" t="s">
        <v>173</v>
      </c>
      <c r="D75" s="6" t="s">
        <v>209</v>
      </c>
      <c r="E75" s="6" t="s">
        <v>42</v>
      </c>
      <c r="F75" s="6" t="s">
        <v>210</v>
      </c>
      <c r="G75" s="6" t="s">
        <v>205</v>
      </c>
      <c r="H75" s="7">
        <v>46303</v>
      </c>
      <c r="I75" s="7">
        <v>46303</v>
      </c>
      <c r="J75" s="6">
        <f>NETWORKDAYS(H75,I75)</f>
        <v>1</v>
      </c>
      <c r="K75" s="6"/>
      <c r="L75" s="6"/>
    </row>
    <row r="76" spans="1:12" ht="27.75" customHeight="1">
      <c r="A76" s="6" t="s">
        <v>211</v>
      </c>
      <c r="B76" s="6" t="s">
        <v>212</v>
      </c>
      <c r="C76" s="6" t="s">
        <v>173</v>
      </c>
      <c r="D76" s="6" t="s">
        <v>213</v>
      </c>
      <c r="E76" s="6" t="s">
        <v>42</v>
      </c>
      <c r="F76" s="6" t="s">
        <v>187</v>
      </c>
      <c r="G76" s="6" t="s">
        <v>208</v>
      </c>
      <c r="H76" s="7">
        <v>46304</v>
      </c>
      <c r="I76" s="7">
        <v>46304</v>
      </c>
      <c r="J76" s="6">
        <f>NETWORKDAYS(H76,I76)</f>
        <v>1</v>
      </c>
      <c r="K76" s="6"/>
      <c r="L76" s="6"/>
    </row>
    <row r="77" spans="1:12" ht="27.75" customHeight="1">
      <c r="A77" s="6" t="s">
        <v>214</v>
      </c>
      <c r="B77" s="6" t="s">
        <v>215</v>
      </c>
      <c r="C77" s="6" t="s">
        <v>173</v>
      </c>
      <c r="D77" s="6" t="s">
        <v>216</v>
      </c>
      <c r="E77" s="6" t="s">
        <v>42</v>
      </c>
      <c r="F77" s="6" t="s">
        <v>175</v>
      </c>
      <c r="G77" s="6" t="s">
        <v>212</v>
      </c>
      <c r="H77" s="7">
        <v>46307</v>
      </c>
      <c r="I77" s="7">
        <v>46307</v>
      </c>
      <c r="J77" s="6">
        <f>NETWORKDAYS(H77,I77)</f>
        <v>1</v>
      </c>
      <c r="K77" s="6"/>
      <c r="L77" s="6"/>
    </row>
    <row r="78" spans="1:12" ht="27.75" customHeight="1">
      <c r="A78" s="6" t="s">
        <v>217</v>
      </c>
      <c r="B78" s="6" t="s">
        <v>218</v>
      </c>
      <c r="C78" s="6" t="s">
        <v>173</v>
      </c>
      <c r="D78" s="6" t="s">
        <v>219</v>
      </c>
      <c r="E78" s="6" t="s">
        <v>42</v>
      </c>
      <c r="F78" s="6" t="s">
        <v>175</v>
      </c>
      <c r="G78" s="6" t="s">
        <v>215</v>
      </c>
      <c r="H78" s="7">
        <v>46308</v>
      </c>
      <c r="I78" s="7">
        <v>46308</v>
      </c>
      <c r="J78" s="6">
        <f>NETWORKDAYS(H78,I78)</f>
        <v>1</v>
      </c>
      <c r="K78" s="6"/>
      <c r="L78" s="6"/>
    </row>
    <row r="79" spans="1:12" ht="27.75" customHeight="1">
      <c r="A79" s="6" t="s">
        <v>220</v>
      </c>
      <c r="B79" s="6" t="s">
        <v>221</v>
      </c>
      <c r="C79" s="6" t="s">
        <v>173</v>
      </c>
      <c r="D79" s="6" t="s">
        <v>222</v>
      </c>
      <c r="E79" s="6" t="s">
        <v>42</v>
      </c>
      <c r="F79" s="6" t="s">
        <v>183</v>
      </c>
      <c r="G79" s="6" t="s">
        <v>218</v>
      </c>
      <c r="H79" s="7">
        <v>46309</v>
      </c>
      <c r="I79" s="7">
        <v>46309</v>
      </c>
      <c r="J79" s="6">
        <f>NETWORKDAYS(H79,I79)</f>
        <v>1</v>
      </c>
      <c r="K79" s="6"/>
      <c r="L79" s="6"/>
    </row>
    <row r="80" spans="1:12" ht="27.75" customHeight="1">
      <c r="A80" s="6" t="s">
        <v>223</v>
      </c>
      <c r="B80" s="6" t="s">
        <v>224</v>
      </c>
      <c r="C80" s="6" t="s">
        <v>173</v>
      </c>
      <c r="D80" s="6" t="s">
        <v>225</v>
      </c>
      <c r="E80" s="6" t="s">
        <v>42</v>
      </c>
      <c r="F80" s="6" t="s">
        <v>183</v>
      </c>
      <c r="G80" s="6" t="s">
        <v>221</v>
      </c>
      <c r="H80" s="7">
        <v>46310</v>
      </c>
      <c r="I80" s="7">
        <v>46310</v>
      </c>
      <c r="J80" s="6">
        <f>NETWORKDAYS(H80,I80)</f>
        <v>1</v>
      </c>
      <c r="K80" s="6"/>
      <c r="L80" s="6"/>
    </row>
    <row r="81" spans="1:12" ht="27.75" customHeight="1">
      <c r="A81" s="6" t="s">
        <v>226</v>
      </c>
      <c r="B81" s="6" t="s">
        <v>227</v>
      </c>
      <c r="C81" s="6" t="s">
        <v>173</v>
      </c>
      <c r="D81" s="6" t="s">
        <v>228</v>
      </c>
      <c r="E81" s="6" t="s">
        <v>42</v>
      </c>
      <c r="F81" s="6" t="s">
        <v>210</v>
      </c>
      <c r="G81" s="6" t="s">
        <v>224</v>
      </c>
      <c r="H81" s="7">
        <v>46311</v>
      </c>
      <c r="I81" s="7">
        <v>46311</v>
      </c>
      <c r="J81" s="6">
        <f>NETWORKDAYS(H81,I81)</f>
        <v>1</v>
      </c>
      <c r="K81" s="6"/>
      <c r="L81" s="6"/>
    </row>
    <row r="82" spans="1:12" ht="27.75" customHeight="1">
      <c r="A82" s="6" t="s">
        <v>229</v>
      </c>
      <c r="B82" s="6" t="s">
        <v>230</v>
      </c>
      <c r="C82" s="6" t="s">
        <v>173</v>
      </c>
      <c r="D82" s="6" t="s">
        <v>231</v>
      </c>
      <c r="E82" s="6" t="s">
        <v>42</v>
      </c>
      <c r="F82" s="6" t="s">
        <v>187</v>
      </c>
      <c r="G82" s="6" t="s">
        <v>227</v>
      </c>
      <c r="H82" s="7">
        <v>46314</v>
      </c>
      <c r="I82" s="7">
        <v>46314</v>
      </c>
      <c r="J82" s="6">
        <f>NETWORKDAYS(H82,I82)</f>
        <v>1</v>
      </c>
      <c r="K82" s="6"/>
      <c r="L82" s="6"/>
    </row>
    <row r="83" spans="1:12" ht="27.75" customHeight="1">
      <c r="A83" s="6" t="s">
        <v>232</v>
      </c>
      <c r="B83" s="6" t="s">
        <v>233</v>
      </c>
      <c r="C83" s="6" t="s">
        <v>173</v>
      </c>
      <c r="D83" s="6" t="s">
        <v>234</v>
      </c>
      <c r="E83" s="6" t="s">
        <v>42</v>
      </c>
      <c r="F83" s="6" t="s">
        <v>235</v>
      </c>
      <c r="G83" s="6" t="s">
        <v>212</v>
      </c>
      <c r="H83" s="7">
        <v>46297</v>
      </c>
      <c r="I83" s="7">
        <v>46297</v>
      </c>
      <c r="J83" s="6">
        <f>NETWORKDAYS(H83,I83)</f>
        <v>1</v>
      </c>
      <c r="K83" s="6"/>
      <c r="L83" s="6" t="s">
        <v>236</v>
      </c>
    </row>
    <row r="84" spans="1:12" ht="27.75" customHeight="1">
      <c r="A84" s="6" t="s">
        <v>237</v>
      </c>
      <c r="B84" s="6" t="s">
        <v>238</v>
      </c>
      <c r="C84" s="6" t="s">
        <v>173</v>
      </c>
      <c r="D84" s="6" t="s">
        <v>239</v>
      </c>
      <c r="E84" s="6" t="s">
        <v>42</v>
      </c>
      <c r="F84" s="6" t="s">
        <v>235</v>
      </c>
      <c r="G84" s="6" t="s">
        <v>233</v>
      </c>
      <c r="H84" s="7">
        <v>46300</v>
      </c>
      <c r="I84" s="7">
        <v>46300</v>
      </c>
      <c r="J84" s="6">
        <f>NETWORKDAYS(H84,I84)</f>
        <v>1</v>
      </c>
      <c r="K84" s="6"/>
      <c r="L84" s="6" t="s">
        <v>240</v>
      </c>
    </row>
    <row r="85" spans="1:12" ht="27.75" customHeight="1">
      <c r="A85" s="6" t="s">
        <v>241</v>
      </c>
      <c r="B85" s="6" t="s">
        <v>242</v>
      </c>
      <c r="C85" s="6" t="s">
        <v>173</v>
      </c>
      <c r="D85" s="6" t="s">
        <v>243</v>
      </c>
      <c r="E85" s="6" t="s">
        <v>42</v>
      </c>
      <c r="F85" s="6" t="s">
        <v>235</v>
      </c>
      <c r="G85" s="6" t="s">
        <v>238</v>
      </c>
      <c r="H85" s="7">
        <v>46301</v>
      </c>
      <c r="I85" s="7">
        <v>46301</v>
      </c>
      <c r="J85" s="6">
        <f>NETWORKDAYS(H85,I85)</f>
        <v>1</v>
      </c>
      <c r="K85" s="6"/>
      <c r="L85" s="6" t="s">
        <v>240</v>
      </c>
    </row>
    <row r="86" spans="1:12" ht="27.75" customHeight="1">
      <c r="A86" s="6" t="s">
        <v>244</v>
      </c>
      <c r="B86" s="6" t="s">
        <v>245</v>
      </c>
      <c r="C86" s="6" t="s">
        <v>173</v>
      </c>
      <c r="D86" s="6" t="s">
        <v>246</v>
      </c>
      <c r="E86" s="6" t="s">
        <v>42</v>
      </c>
      <c r="F86" s="6" t="s">
        <v>247</v>
      </c>
      <c r="G86" s="6" t="s">
        <v>242</v>
      </c>
      <c r="H86" s="7">
        <v>46302</v>
      </c>
      <c r="I86" s="7">
        <v>46302</v>
      </c>
      <c r="J86" s="6">
        <f>NETWORKDAYS(H86,I86)</f>
        <v>1</v>
      </c>
      <c r="K86" s="6"/>
      <c r="L86" s="6" t="s">
        <v>240</v>
      </c>
    </row>
    <row r="87" spans="1:12" ht="27.75" customHeight="1">
      <c r="A87" s="6" t="s">
        <v>248</v>
      </c>
      <c r="B87" s="6" t="s">
        <v>249</v>
      </c>
      <c r="C87" s="6" t="s">
        <v>173</v>
      </c>
      <c r="D87" s="6" t="s">
        <v>250</v>
      </c>
      <c r="E87" s="6" t="s">
        <v>42</v>
      </c>
      <c r="F87" s="6" t="s">
        <v>251</v>
      </c>
      <c r="G87" s="6" t="s">
        <v>245</v>
      </c>
      <c r="H87" s="7">
        <v>46304</v>
      </c>
      <c r="I87" s="7">
        <v>46304</v>
      </c>
      <c r="J87" s="6">
        <f>NETWORKDAYS(H87,I87)</f>
        <v>1</v>
      </c>
      <c r="K87" s="6"/>
      <c r="L87" s="6" t="s">
        <v>240</v>
      </c>
    </row>
    <row r="88" spans="1:12" ht="27.75" customHeight="1">
      <c r="A88" s="6" t="s">
        <v>252</v>
      </c>
      <c r="B88" s="6" t="s">
        <v>253</v>
      </c>
      <c r="C88" s="6" t="s">
        <v>173</v>
      </c>
      <c r="D88" s="6" t="s">
        <v>254</v>
      </c>
      <c r="E88" s="6" t="s">
        <v>42</v>
      </c>
      <c r="F88" s="6" t="s">
        <v>255</v>
      </c>
      <c r="G88" s="6" t="s">
        <v>249</v>
      </c>
      <c r="H88" s="7">
        <v>46307</v>
      </c>
      <c r="I88" s="7">
        <v>46307</v>
      </c>
      <c r="J88" s="6">
        <f>NETWORKDAYS(H88,I88)</f>
        <v>1</v>
      </c>
      <c r="K88" s="6"/>
      <c r="L88" s="6" t="s">
        <v>240</v>
      </c>
    </row>
    <row r="89" spans="1:12" ht="27.75" customHeight="1">
      <c r="A89" s="6" t="s">
        <v>256</v>
      </c>
      <c r="B89" s="6" t="s">
        <v>257</v>
      </c>
      <c r="C89" s="6" t="s">
        <v>173</v>
      </c>
      <c r="D89" s="6" t="s">
        <v>258</v>
      </c>
      <c r="E89" s="6" t="s">
        <v>42</v>
      </c>
      <c r="F89" s="6" t="s">
        <v>259</v>
      </c>
      <c r="G89" s="6" t="s">
        <v>253</v>
      </c>
      <c r="H89" s="7">
        <v>46308</v>
      </c>
      <c r="I89" s="7">
        <v>46308</v>
      </c>
      <c r="J89" s="6">
        <f>NETWORKDAYS(H89,I89)</f>
        <v>1</v>
      </c>
      <c r="K89" s="6"/>
      <c r="L89" s="6" t="s">
        <v>240</v>
      </c>
    </row>
    <row r="90" spans="1:12" ht="27.75" customHeight="1">
      <c r="A90" s="6" t="s">
        <v>260</v>
      </c>
      <c r="B90" s="6" t="s">
        <v>261</v>
      </c>
      <c r="C90" s="6" t="s">
        <v>173</v>
      </c>
      <c r="D90" s="6" t="s">
        <v>262</v>
      </c>
      <c r="E90" s="6" t="s">
        <v>42</v>
      </c>
      <c r="F90" s="6" t="s">
        <v>235</v>
      </c>
      <c r="G90" s="6" t="s">
        <v>257</v>
      </c>
      <c r="H90" s="7">
        <v>46309</v>
      </c>
      <c r="I90" s="7">
        <v>46309</v>
      </c>
      <c r="J90" s="6">
        <f>NETWORKDAYS(H90,I90)</f>
        <v>1</v>
      </c>
      <c r="K90" s="6"/>
      <c r="L90" s="6" t="s">
        <v>240</v>
      </c>
    </row>
    <row r="91" spans="1:12" ht="15" customHeight="1">
      <c r="A91" s="6" t="s">
        <v>263</v>
      </c>
      <c r="B91" s="6" t="s">
        <v>264</v>
      </c>
      <c r="C91" s="6" t="s">
        <v>173</v>
      </c>
      <c r="D91" s="6" t="s">
        <v>265</v>
      </c>
      <c r="E91" s="6" t="s">
        <v>42</v>
      </c>
      <c r="F91" s="6" t="s">
        <v>235</v>
      </c>
      <c r="G91" s="6" t="s">
        <v>261</v>
      </c>
      <c r="H91" s="7">
        <v>46310</v>
      </c>
      <c r="I91" s="7">
        <v>46310</v>
      </c>
      <c r="J91" s="6">
        <f>NETWORKDAYS(H91,I91)</f>
        <v>1</v>
      </c>
      <c r="K91" s="6"/>
      <c r="L91" s="6" t="s">
        <v>240</v>
      </c>
    </row>
    <row r="92" spans="1:12" ht="15" customHeight="1">
      <c r="A92" s="6" t="s">
        <v>266</v>
      </c>
      <c r="B92" s="6" t="s">
        <v>267</v>
      </c>
      <c r="C92" s="6" t="s">
        <v>173</v>
      </c>
      <c r="D92" s="6" t="s">
        <v>268</v>
      </c>
      <c r="E92" s="6" t="s">
        <v>42</v>
      </c>
      <c r="F92" s="6" t="s">
        <v>247</v>
      </c>
      <c r="G92" s="6" t="s">
        <v>264</v>
      </c>
      <c r="H92" s="7">
        <v>46311</v>
      </c>
      <c r="I92" s="7">
        <v>46311</v>
      </c>
      <c r="J92" s="6">
        <f>NETWORKDAYS(H92,I92)</f>
        <v>1</v>
      </c>
      <c r="K92" s="6"/>
      <c r="L92" s="6" t="s">
        <v>240</v>
      </c>
    </row>
    <row r="93" spans="1:12" ht="15" customHeight="1">
      <c r="A93" s="6" t="s">
        <v>269</v>
      </c>
      <c r="B93" s="6" t="s">
        <v>270</v>
      </c>
      <c r="C93" s="6" t="s">
        <v>173</v>
      </c>
      <c r="D93" s="6" t="s">
        <v>271</v>
      </c>
      <c r="E93" s="6" t="s">
        <v>42</v>
      </c>
      <c r="F93" s="6" t="s">
        <v>255</v>
      </c>
      <c r="G93" s="6" t="s">
        <v>267</v>
      </c>
      <c r="H93" s="7">
        <v>46314</v>
      </c>
      <c r="I93" s="7">
        <v>46314</v>
      </c>
      <c r="J93" s="6">
        <f>NETWORKDAYS(H93,I93)</f>
        <v>1</v>
      </c>
      <c r="K93" s="6"/>
      <c r="L93" s="6" t="s">
        <v>240</v>
      </c>
    </row>
    <row r="94" spans="1:12" ht="27.75" customHeight="1">
      <c r="A94" s="6" t="s">
        <v>272</v>
      </c>
      <c r="B94" s="6" t="s">
        <v>273</v>
      </c>
      <c r="C94" s="6" t="s">
        <v>173</v>
      </c>
      <c r="D94" s="6" t="s">
        <v>274</v>
      </c>
      <c r="E94" s="6" t="s">
        <v>42</v>
      </c>
      <c r="F94" s="6" t="s">
        <v>175</v>
      </c>
      <c r="G94" s="6" t="s">
        <v>189</v>
      </c>
      <c r="H94" s="7">
        <v>46302</v>
      </c>
      <c r="I94" s="7">
        <v>46302</v>
      </c>
      <c r="J94" s="6">
        <f>NETWORKDAYS(H94,I94)</f>
        <v>1</v>
      </c>
      <c r="K94" s="6"/>
      <c r="L94" s="6"/>
    </row>
    <row r="95" spans="1:12" ht="27.75" customHeight="1">
      <c r="A95" s="6" t="s">
        <v>275</v>
      </c>
      <c r="B95" s="6" t="s">
        <v>276</v>
      </c>
      <c r="C95" s="6" t="s">
        <v>173</v>
      </c>
      <c r="D95" s="6" t="s">
        <v>277</v>
      </c>
      <c r="E95" s="6" t="s">
        <v>42</v>
      </c>
      <c r="F95" s="6" t="s">
        <v>175</v>
      </c>
      <c r="G95" s="6" t="s">
        <v>273</v>
      </c>
      <c r="H95" s="7">
        <v>46309</v>
      </c>
      <c r="I95" s="7">
        <v>46309</v>
      </c>
      <c r="J95" s="6">
        <f>NETWORKDAYS(H95,I95)</f>
        <v>1</v>
      </c>
      <c r="K95" s="6"/>
      <c r="L95" s="6"/>
    </row>
    <row r="96" spans="1:12" ht="27.75" customHeight="1">
      <c r="A96" s="6" t="s">
        <v>278</v>
      </c>
      <c r="B96" s="6" t="s">
        <v>279</v>
      </c>
      <c r="C96" s="6" t="s">
        <v>173</v>
      </c>
      <c r="D96" s="6" t="s">
        <v>280</v>
      </c>
      <c r="E96" s="6" t="s">
        <v>42</v>
      </c>
      <c r="F96" s="6" t="s">
        <v>175</v>
      </c>
      <c r="G96" s="6" t="s">
        <v>276</v>
      </c>
      <c r="H96" s="7">
        <v>46310</v>
      </c>
      <c r="I96" s="7">
        <v>46310</v>
      </c>
      <c r="J96" s="6">
        <f>NETWORKDAYS(H96,I96)</f>
        <v>1</v>
      </c>
      <c r="K96" s="6"/>
      <c r="L96" s="6"/>
    </row>
    <row r="97" spans="1:12" ht="27.75" customHeight="1">
      <c r="A97" s="6" t="s">
        <v>281</v>
      </c>
      <c r="B97" s="6" t="s">
        <v>282</v>
      </c>
      <c r="C97" s="6" t="s">
        <v>173</v>
      </c>
      <c r="D97" s="6" t="s">
        <v>283</v>
      </c>
      <c r="E97" s="6" t="s">
        <v>42</v>
      </c>
      <c r="F97" s="6" t="s">
        <v>187</v>
      </c>
      <c r="G97" s="6" t="s">
        <v>279</v>
      </c>
      <c r="H97" s="7">
        <v>46315</v>
      </c>
      <c r="I97" s="7">
        <v>46315</v>
      </c>
      <c r="J97" s="6">
        <f>NETWORKDAYS(H97,I97)</f>
        <v>1</v>
      </c>
      <c r="K97" s="6"/>
      <c r="L97" s="6"/>
    </row>
    <row r="98" spans="1:12" ht="122.25" customHeight="1">
      <c r="A98" s="8"/>
      <c r="B98" s="8"/>
      <c r="C98" s="8"/>
      <c r="D98" s="9" t="s">
        <v>34</v>
      </c>
      <c r="E98" s="10" t="s">
        <v>284</v>
      </c>
      <c r="F98" s="8"/>
      <c r="G98" s="8"/>
      <c r="H98" s="8"/>
      <c r="I98" s="8"/>
      <c r="J98" s="8"/>
      <c r="K98" s="8"/>
      <c r="L98" s="8"/>
    </row>
    <row r="99" spans="1:12" ht="15" customHeight="1">
      <c r="A99" s="11"/>
      <c r="B99" s="11"/>
      <c r="C99" s="11"/>
      <c r="D99" s="12" t="s">
        <v>285</v>
      </c>
      <c r="E99" s="11"/>
      <c r="F99" s="11"/>
      <c r="G99" s="11"/>
      <c r="H99" s="11"/>
      <c r="I99" s="13">
        <v>46315</v>
      </c>
      <c r="J99" s="11"/>
      <c r="K99" s="11"/>
      <c r="L99" s="11"/>
    </row>
    <row r="101" spans="1:12" ht="15" customHeight="1">
      <c r="A101" s="15" t="s">
        <v>286</v>
      </c>
      <c r="B101" s="15"/>
      <c r="C101" s="15"/>
      <c r="D101" s="15"/>
      <c r="E101" s="15"/>
      <c r="F101" s="15"/>
      <c r="G101" s="15"/>
      <c r="H101" s="15"/>
      <c r="I101" s="15"/>
      <c r="J101" s="15"/>
      <c r="K101" s="15"/>
      <c r="L101" s="15"/>
    </row>
    <row r="102" spans="1:12" ht="15" customHeight="1">
      <c r="A102" s="6" t="s">
        <v>287</v>
      </c>
      <c r="B102" s="6" t="s">
        <v>288</v>
      </c>
      <c r="C102" s="6" t="s">
        <v>289</v>
      </c>
      <c r="D102" s="6" t="s">
        <v>290</v>
      </c>
      <c r="E102" s="6" t="s">
        <v>42</v>
      </c>
      <c r="F102" s="6" t="s">
        <v>24</v>
      </c>
      <c r="G102" s="6" t="s">
        <v>291</v>
      </c>
      <c r="H102" s="7">
        <v>46316</v>
      </c>
      <c r="I102" s="7">
        <v>46316</v>
      </c>
      <c r="J102" s="6">
        <f>NETWORKDAYS(H102,I102)</f>
        <v>1</v>
      </c>
      <c r="K102" s="6"/>
      <c r="L102" s="6"/>
    </row>
    <row r="103" spans="1:12" ht="15" customHeight="1">
      <c r="A103" s="6" t="s">
        <v>292</v>
      </c>
      <c r="B103" s="6" t="s">
        <v>293</v>
      </c>
      <c r="C103" s="6" t="s">
        <v>289</v>
      </c>
      <c r="D103" s="6" t="s">
        <v>294</v>
      </c>
      <c r="E103" s="6" t="s">
        <v>42</v>
      </c>
      <c r="F103" s="6" t="s">
        <v>24</v>
      </c>
      <c r="G103" s="6" t="s">
        <v>212</v>
      </c>
      <c r="H103" s="7">
        <v>46307</v>
      </c>
      <c r="I103" s="7">
        <v>46307</v>
      </c>
      <c r="J103" s="6">
        <f>NETWORKDAYS(H103,I103)</f>
        <v>1</v>
      </c>
      <c r="K103" s="6"/>
      <c r="L103" s="6"/>
    </row>
    <row r="104" spans="1:12" ht="15" customHeight="1">
      <c r="A104" s="6" t="s">
        <v>295</v>
      </c>
      <c r="B104" s="6" t="s">
        <v>296</v>
      </c>
      <c r="C104" s="6" t="s">
        <v>289</v>
      </c>
      <c r="D104" s="6" t="s">
        <v>297</v>
      </c>
      <c r="E104" s="6" t="s">
        <v>42</v>
      </c>
      <c r="F104" s="6" t="s">
        <v>24</v>
      </c>
      <c r="G104" s="6" t="s">
        <v>230</v>
      </c>
      <c r="H104" s="7">
        <v>46315</v>
      </c>
      <c r="I104" s="7">
        <v>46315</v>
      </c>
      <c r="J104" s="6">
        <f>NETWORKDAYS(H104,I104)</f>
        <v>1</v>
      </c>
      <c r="K104" s="6"/>
      <c r="L104" s="6"/>
    </row>
    <row r="105" spans="1:12" ht="15" customHeight="1">
      <c r="A105" s="6" t="s">
        <v>298</v>
      </c>
      <c r="B105" s="6" t="s">
        <v>299</v>
      </c>
      <c r="C105" s="6" t="s">
        <v>289</v>
      </c>
      <c r="D105" s="6" t="s">
        <v>300</v>
      </c>
      <c r="E105" s="6" t="s">
        <v>42</v>
      </c>
      <c r="F105" s="6" t="s">
        <v>24</v>
      </c>
      <c r="G105" s="6" t="s">
        <v>301</v>
      </c>
      <c r="H105" s="7">
        <v>46317</v>
      </c>
      <c r="I105" s="7">
        <v>46317</v>
      </c>
      <c r="J105" s="6">
        <f>NETWORKDAYS(H105,I105)</f>
        <v>1</v>
      </c>
      <c r="K105" s="6"/>
      <c r="L105" s="6"/>
    </row>
    <row r="106" spans="1:12" ht="27.75" customHeight="1">
      <c r="A106" s="6" t="s">
        <v>302</v>
      </c>
      <c r="B106" s="6" t="s">
        <v>303</v>
      </c>
      <c r="C106" s="6" t="s">
        <v>289</v>
      </c>
      <c r="D106" s="6" t="s">
        <v>304</v>
      </c>
      <c r="E106" s="6" t="s">
        <v>42</v>
      </c>
      <c r="F106" s="6" t="s">
        <v>24</v>
      </c>
      <c r="G106" s="6" t="s">
        <v>305</v>
      </c>
      <c r="H106" s="7">
        <v>46318</v>
      </c>
      <c r="I106" s="7">
        <v>46318</v>
      </c>
      <c r="J106" s="6">
        <f>NETWORKDAYS(H106,I106)</f>
        <v>1</v>
      </c>
      <c r="K106" s="6"/>
      <c r="L106" s="6"/>
    </row>
    <row r="107" spans="1:12" ht="15" customHeight="1">
      <c r="A107" s="6" t="s">
        <v>306</v>
      </c>
      <c r="B107" s="6" t="s">
        <v>307</v>
      </c>
      <c r="C107" s="6" t="s">
        <v>289</v>
      </c>
      <c r="D107" s="6" t="s">
        <v>308</v>
      </c>
      <c r="E107" s="6" t="s">
        <v>42</v>
      </c>
      <c r="F107" s="6" t="s">
        <v>309</v>
      </c>
      <c r="G107" s="6" t="s">
        <v>303</v>
      </c>
      <c r="H107" s="7">
        <v>46321</v>
      </c>
      <c r="I107" s="7">
        <v>46321</v>
      </c>
      <c r="J107" s="6">
        <f>NETWORKDAYS(H107,I107)</f>
        <v>1</v>
      </c>
      <c r="K107" s="6"/>
      <c r="L107" s="6"/>
    </row>
    <row r="108" spans="1:12" ht="15" customHeight="1">
      <c r="A108" s="6" t="s">
        <v>310</v>
      </c>
      <c r="B108" s="6" t="s">
        <v>311</v>
      </c>
      <c r="C108" s="6" t="s">
        <v>289</v>
      </c>
      <c r="D108" s="6" t="s">
        <v>312</v>
      </c>
      <c r="E108" s="6" t="s">
        <v>42</v>
      </c>
      <c r="F108" s="6" t="s">
        <v>24</v>
      </c>
      <c r="G108" s="6" t="s">
        <v>307</v>
      </c>
      <c r="H108" s="7">
        <v>46322</v>
      </c>
      <c r="I108" s="7">
        <v>46322</v>
      </c>
      <c r="J108" s="6">
        <f>NETWORKDAYS(H108,I108)</f>
        <v>1</v>
      </c>
      <c r="K108" s="6"/>
      <c r="L108" s="6"/>
    </row>
    <row r="109" spans="1:12" ht="54.75" customHeight="1">
      <c r="A109" s="8"/>
      <c r="B109" s="8"/>
      <c r="C109" s="8"/>
      <c r="D109" s="9" t="s">
        <v>34</v>
      </c>
      <c r="E109" s="10" t="s">
        <v>313</v>
      </c>
      <c r="F109" s="8"/>
      <c r="G109" s="8"/>
      <c r="H109" s="8"/>
      <c r="I109" s="8"/>
      <c r="J109" s="8"/>
      <c r="K109" s="8"/>
      <c r="L109" s="8"/>
    </row>
    <row r="110" spans="1:12" ht="15" customHeight="1">
      <c r="A110" s="11"/>
      <c r="B110" s="11"/>
      <c r="C110" s="11"/>
      <c r="D110" s="12" t="s">
        <v>314</v>
      </c>
      <c r="E110" s="11"/>
      <c r="F110" s="11"/>
      <c r="G110" s="11"/>
      <c r="H110" s="11"/>
      <c r="I110" s="13">
        <v>46322</v>
      </c>
      <c r="J110" s="11"/>
      <c r="K110" s="11"/>
      <c r="L110" s="11"/>
    </row>
    <row r="112" spans="1:12" ht="15" customHeight="1">
      <c r="A112" s="15" t="s">
        <v>315</v>
      </c>
      <c r="B112" s="15"/>
      <c r="C112" s="15"/>
      <c r="D112" s="15"/>
      <c r="E112" s="15"/>
      <c r="F112" s="15"/>
      <c r="G112" s="15"/>
      <c r="H112" s="15"/>
      <c r="I112" s="15"/>
      <c r="J112" s="15"/>
      <c r="K112" s="15"/>
      <c r="L112" s="15"/>
    </row>
    <row r="113" spans="1:12" ht="15" customHeight="1">
      <c r="A113" s="6" t="s">
        <v>316</v>
      </c>
      <c r="B113" s="6" t="s">
        <v>317</v>
      </c>
      <c r="C113" s="6" t="s">
        <v>318</v>
      </c>
      <c r="D113" s="6" t="s">
        <v>319</v>
      </c>
      <c r="E113" s="6" t="s">
        <v>42</v>
      </c>
      <c r="F113" s="6" t="s">
        <v>309</v>
      </c>
      <c r="G113" s="6" t="s">
        <v>311</v>
      </c>
      <c r="H113" s="7">
        <v>46323</v>
      </c>
      <c r="I113" s="7">
        <v>46323</v>
      </c>
      <c r="J113" s="6">
        <f>NETWORKDAYS(H113,I113)</f>
        <v>1</v>
      </c>
      <c r="K113" s="6"/>
      <c r="L113" s="6"/>
    </row>
    <row r="114" spans="1:12" ht="15" customHeight="1">
      <c r="A114" s="6" t="s">
        <v>320</v>
      </c>
      <c r="B114" s="6" t="s">
        <v>321</v>
      </c>
      <c r="C114" s="6" t="s">
        <v>318</v>
      </c>
      <c r="D114" s="6" t="s">
        <v>322</v>
      </c>
      <c r="E114" s="6" t="s">
        <v>42</v>
      </c>
      <c r="F114" s="6" t="s">
        <v>309</v>
      </c>
      <c r="G114" s="6" t="s">
        <v>317</v>
      </c>
      <c r="H114" s="7">
        <v>46324</v>
      </c>
      <c r="I114" s="7">
        <v>46324</v>
      </c>
      <c r="J114" s="6">
        <f>NETWORKDAYS(H114,I114)</f>
        <v>1</v>
      </c>
      <c r="K114" s="6"/>
      <c r="L114" s="6"/>
    </row>
    <row r="115" spans="1:12" ht="27.75" customHeight="1">
      <c r="A115" s="6" t="s">
        <v>323</v>
      </c>
      <c r="B115" s="6" t="s">
        <v>324</v>
      </c>
      <c r="C115" s="6" t="s">
        <v>318</v>
      </c>
      <c r="D115" s="6" t="s">
        <v>325</v>
      </c>
      <c r="E115" s="6" t="s">
        <v>42</v>
      </c>
      <c r="F115" s="6" t="s">
        <v>309</v>
      </c>
      <c r="G115" s="6" t="s">
        <v>321</v>
      </c>
      <c r="H115" s="7">
        <v>46325</v>
      </c>
      <c r="I115" s="7">
        <v>46325</v>
      </c>
      <c r="J115" s="6">
        <f>NETWORKDAYS(H115,I115)</f>
        <v>1</v>
      </c>
      <c r="K115" s="6"/>
      <c r="L115" s="6"/>
    </row>
    <row r="116" spans="1:12" ht="27.75" customHeight="1">
      <c r="A116" s="6" t="s">
        <v>326</v>
      </c>
      <c r="B116" s="6" t="s">
        <v>327</v>
      </c>
      <c r="C116" s="6" t="s">
        <v>318</v>
      </c>
      <c r="D116" s="6" t="s">
        <v>328</v>
      </c>
      <c r="E116" s="6" t="s">
        <v>42</v>
      </c>
      <c r="F116" s="6" t="s">
        <v>309</v>
      </c>
      <c r="G116" s="6" t="s">
        <v>324</v>
      </c>
      <c r="H116" s="7">
        <v>46328</v>
      </c>
      <c r="I116" s="7">
        <v>46328</v>
      </c>
      <c r="J116" s="6">
        <f>NETWORKDAYS(H116,I116)</f>
        <v>1</v>
      </c>
      <c r="K116" s="6"/>
      <c r="L116" s="6"/>
    </row>
    <row r="117" spans="1:12" ht="15" customHeight="1">
      <c r="A117" s="6" t="s">
        <v>329</v>
      </c>
      <c r="B117" s="6" t="s">
        <v>330</v>
      </c>
      <c r="C117" s="6" t="s">
        <v>318</v>
      </c>
      <c r="D117" s="6" t="s">
        <v>331</v>
      </c>
      <c r="E117" s="6" t="s">
        <v>42</v>
      </c>
      <c r="F117" s="6" t="s">
        <v>309</v>
      </c>
      <c r="G117" s="6" t="s">
        <v>327</v>
      </c>
      <c r="H117" s="7">
        <v>46329</v>
      </c>
      <c r="I117" s="7">
        <v>46329</v>
      </c>
      <c r="J117" s="6">
        <f>NETWORKDAYS(H117,I117)</f>
        <v>1</v>
      </c>
      <c r="K117" s="6"/>
      <c r="L117" s="6"/>
    </row>
    <row r="118" spans="1:12" ht="15" customHeight="1">
      <c r="A118" s="6" t="s">
        <v>332</v>
      </c>
      <c r="B118" s="6" t="s">
        <v>333</v>
      </c>
      <c r="C118" s="6" t="s">
        <v>318</v>
      </c>
      <c r="D118" s="6" t="s">
        <v>334</v>
      </c>
      <c r="E118" s="6" t="s">
        <v>42</v>
      </c>
      <c r="F118" s="6" t="s">
        <v>335</v>
      </c>
      <c r="G118" s="6" t="s">
        <v>330</v>
      </c>
      <c r="H118" s="7">
        <v>46330</v>
      </c>
      <c r="I118" s="7">
        <v>46330</v>
      </c>
      <c r="J118" s="6">
        <f>NETWORKDAYS(H118,I118)</f>
        <v>1</v>
      </c>
      <c r="K118" s="6"/>
      <c r="L118" s="6" t="s">
        <v>336</v>
      </c>
    </row>
    <row r="119" spans="1:12" ht="15" customHeight="1">
      <c r="A119" s="6" t="s">
        <v>337</v>
      </c>
      <c r="B119" s="6" t="s">
        <v>338</v>
      </c>
      <c r="C119" s="6" t="s">
        <v>318</v>
      </c>
      <c r="D119" s="6" t="s">
        <v>339</v>
      </c>
      <c r="E119" s="6" t="s">
        <v>42</v>
      </c>
      <c r="F119" s="6" t="s">
        <v>335</v>
      </c>
      <c r="G119" s="6" t="s">
        <v>333</v>
      </c>
      <c r="H119" s="7">
        <v>46331</v>
      </c>
      <c r="I119" s="7">
        <v>46331</v>
      </c>
      <c r="J119" s="6">
        <f>NETWORKDAYS(H119,I119)</f>
        <v>1</v>
      </c>
      <c r="K119" s="6"/>
      <c r="L119" s="6" t="s">
        <v>336</v>
      </c>
    </row>
    <row r="120" spans="1:12" ht="27.75" customHeight="1">
      <c r="A120" s="6" t="s">
        <v>340</v>
      </c>
      <c r="B120" s="6" t="s">
        <v>341</v>
      </c>
      <c r="C120" s="6" t="s">
        <v>318</v>
      </c>
      <c r="D120" s="6" t="s">
        <v>342</v>
      </c>
      <c r="E120" s="6" t="s">
        <v>42</v>
      </c>
      <c r="F120" s="6" t="s">
        <v>335</v>
      </c>
      <c r="G120" s="6" t="s">
        <v>338</v>
      </c>
      <c r="H120" s="7">
        <v>46332</v>
      </c>
      <c r="I120" s="7">
        <v>46332</v>
      </c>
      <c r="J120" s="6">
        <f>NETWORKDAYS(H120,I120)</f>
        <v>1</v>
      </c>
      <c r="K120" s="6"/>
      <c r="L120" s="6" t="s">
        <v>336</v>
      </c>
    </row>
    <row r="121" spans="1:12" ht="15" customHeight="1">
      <c r="A121" s="6" t="s">
        <v>343</v>
      </c>
      <c r="B121" s="6" t="s">
        <v>344</v>
      </c>
      <c r="C121" s="6" t="s">
        <v>318</v>
      </c>
      <c r="D121" s="6" t="s">
        <v>345</v>
      </c>
      <c r="E121" s="6" t="s">
        <v>42</v>
      </c>
      <c r="F121" s="6" t="s">
        <v>346</v>
      </c>
      <c r="G121" s="6" t="s">
        <v>341</v>
      </c>
      <c r="H121" s="7">
        <v>46335</v>
      </c>
      <c r="I121" s="7">
        <v>46335</v>
      </c>
      <c r="J121" s="6">
        <f>NETWORKDAYS(H121,I121)</f>
        <v>1</v>
      </c>
      <c r="K121" s="6"/>
      <c r="L121" s="6" t="s">
        <v>347</v>
      </c>
    </row>
    <row r="122" spans="1:12" ht="15" customHeight="1">
      <c r="A122" s="6" t="s">
        <v>348</v>
      </c>
      <c r="B122" s="6" t="s">
        <v>349</v>
      </c>
      <c r="C122" s="6" t="s">
        <v>318</v>
      </c>
      <c r="D122" s="6" t="s">
        <v>350</v>
      </c>
      <c r="E122" s="6" t="s">
        <v>42</v>
      </c>
      <c r="F122" s="6" t="s">
        <v>309</v>
      </c>
      <c r="G122" s="6" t="s">
        <v>344</v>
      </c>
      <c r="H122" s="7">
        <v>46330</v>
      </c>
      <c r="I122" s="7">
        <v>46330</v>
      </c>
      <c r="J122" s="6">
        <f>NETWORKDAYS(H122,I122)</f>
        <v>1</v>
      </c>
      <c r="K122" s="6"/>
      <c r="L122" s="6" t="s">
        <v>351</v>
      </c>
    </row>
    <row r="123" spans="1:12" ht="27.75" customHeight="1">
      <c r="A123" s="6" t="s">
        <v>352</v>
      </c>
      <c r="B123" s="6" t="s">
        <v>353</v>
      </c>
      <c r="C123" s="6" t="s">
        <v>318</v>
      </c>
      <c r="D123" s="6" t="s">
        <v>354</v>
      </c>
      <c r="E123" s="6" t="s">
        <v>42</v>
      </c>
      <c r="F123" s="6" t="s">
        <v>355</v>
      </c>
      <c r="G123" s="6" t="s">
        <v>349</v>
      </c>
      <c r="H123" s="7">
        <v>46331</v>
      </c>
      <c r="I123" s="7">
        <v>46331</v>
      </c>
      <c r="J123" s="6">
        <f>NETWORKDAYS(H123,I123)</f>
        <v>1</v>
      </c>
      <c r="K123" s="6"/>
      <c r="L123" s="6"/>
    </row>
    <row r="124" spans="1:12" ht="27.75" customHeight="1">
      <c r="A124" s="6" t="s">
        <v>356</v>
      </c>
      <c r="B124" s="6" t="s">
        <v>357</v>
      </c>
      <c r="C124" s="6" t="s">
        <v>318</v>
      </c>
      <c r="D124" s="6" t="s">
        <v>358</v>
      </c>
      <c r="E124" s="6" t="s">
        <v>42</v>
      </c>
      <c r="F124" s="6" t="s">
        <v>359</v>
      </c>
      <c r="G124" s="6" t="s">
        <v>353</v>
      </c>
      <c r="H124" s="7">
        <v>46332</v>
      </c>
      <c r="I124" s="7">
        <v>46332</v>
      </c>
      <c r="J124" s="6">
        <f>NETWORKDAYS(H124,I124)</f>
        <v>1</v>
      </c>
      <c r="K124" s="6"/>
      <c r="L124" s="6"/>
    </row>
    <row r="125" spans="1:12" ht="54.75" customHeight="1">
      <c r="A125" s="8"/>
      <c r="B125" s="8"/>
      <c r="C125" s="8"/>
      <c r="D125" s="9" t="s">
        <v>34</v>
      </c>
      <c r="E125" s="10" t="s">
        <v>360</v>
      </c>
      <c r="F125" s="8"/>
      <c r="G125" s="8"/>
      <c r="H125" s="8"/>
      <c r="I125" s="8"/>
      <c r="J125" s="8"/>
      <c r="K125" s="8"/>
      <c r="L125" s="8"/>
    </row>
    <row r="126" spans="1:12" ht="15" customHeight="1">
      <c r="A126" s="11"/>
      <c r="B126" s="11"/>
      <c r="C126" s="11"/>
      <c r="D126" s="12" t="s">
        <v>361</v>
      </c>
      <c r="E126" s="11"/>
      <c r="F126" s="11"/>
      <c r="G126" s="11"/>
      <c r="H126" s="11"/>
      <c r="I126" s="13">
        <v>46335</v>
      </c>
      <c r="J126" s="11"/>
      <c r="K126" s="11"/>
      <c r="L126" s="11"/>
    </row>
    <row r="128" spans="1:12" ht="15" customHeight="1">
      <c r="A128" s="15" t="s">
        <v>362</v>
      </c>
      <c r="B128" s="15"/>
      <c r="C128" s="15"/>
      <c r="D128" s="15"/>
      <c r="E128" s="15"/>
      <c r="F128" s="15"/>
      <c r="G128" s="15"/>
      <c r="H128" s="15"/>
      <c r="I128" s="15"/>
      <c r="J128" s="15"/>
      <c r="K128" s="15"/>
      <c r="L128" s="15"/>
    </row>
    <row r="129" spans="1:12" ht="15" customHeight="1">
      <c r="A129" s="6" t="s">
        <v>363</v>
      </c>
      <c r="B129" s="6" t="s">
        <v>364</v>
      </c>
      <c r="C129" s="6" t="s">
        <v>365</v>
      </c>
      <c r="D129" s="6" t="s">
        <v>366</v>
      </c>
      <c r="E129" s="6" t="s">
        <v>42</v>
      </c>
      <c r="F129" s="6" t="s">
        <v>154</v>
      </c>
      <c r="G129" s="6" t="s">
        <v>357</v>
      </c>
      <c r="H129" s="7">
        <v>46335</v>
      </c>
      <c r="I129" s="7">
        <v>46335</v>
      </c>
      <c r="J129" s="6">
        <f>NETWORKDAYS(H129,I129)</f>
        <v>1</v>
      </c>
      <c r="K129" s="6"/>
      <c r="L129" s="6"/>
    </row>
    <row r="130" spans="1:12" ht="15" customHeight="1">
      <c r="A130" s="6" t="s">
        <v>367</v>
      </c>
      <c r="B130" s="6" t="s">
        <v>368</v>
      </c>
      <c r="C130" s="6" t="s">
        <v>365</v>
      </c>
      <c r="D130" s="6" t="s">
        <v>369</v>
      </c>
      <c r="E130" s="6" t="s">
        <v>42</v>
      </c>
      <c r="F130" s="6" t="s">
        <v>24</v>
      </c>
      <c r="G130" s="6" t="s">
        <v>364</v>
      </c>
      <c r="H130" s="7">
        <v>46336</v>
      </c>
      <c r="I130" s="7">
        <v>46336</v>
      </c>
      <c r="J130" s="6">
        <f>NETWORKDAYS(H130,I130)</f>
        <v>1</v>
      </c>
      <c r="K130" s="6"/>
      <c r="L130" s="6"/>
    </row>
    <row r="131" spans="1:12" ht="54.75" customHeight="1">
      <c r="A131" s="8"/>
      <c r="B131" s="8"/>
      <c r="C131" s="8"/>
      <c r="D131" s="9" t="s">
        <v>34</v>
      </c>
      <c r="E131" s="10" t="s">
        <v>370</v>
      </c>
      <c r="F131" s="8"/>
      <c r="G131" s="8"/>
      <c r="H131" s="8"/>
      <c r="I131" s="8"/>
      <c r="J131" s="8"/>
      <c r="K131" s="8"/>
      <c r="L131" s="8"/>
    </row>
    <row r="132" spans="1:12" ht="15" customHeight="1">
      <c r="A132" s="11"/>
      <c r="B132" s="11"/>
      <c r="C132" s="11"/>
      <c r="D132" s="12" t="s">
        <v>371</v>
      </c>
      <c r="E132" s="11"/>
      <c r="F132" s="11"/>
      <c r="G132" s="11"/>
      <c r="H132" s="11"/>
      <c r="I132" s="13">
        <v>46336</v>
      </c>
      <c r="J132" s="11"/>
      <c r="K132" s="11"/>
      <c r="L132" s="11"/>
    </row>
    <row r="134" spans="1:12" ht="15" customHeight="1">
      <c r="A134" s="15" t="s">
        <v>372</v>
      </c>
      <c r="B134" s="15"/>
      <c r="C134" s="15"/>
      <c r="D134" s="15"/>
      <c r="E134" s="15"/>
      <c r="F134" s="15"/>
      <c r="G134" s="15"/>
      <c r="H134" s="15"/>
      <c r="I134" s="15"/>
      <c r="J134" s="15"/>
      <c r="K134" s="15"/>
      <c r="L134" s="15"/>
    </row>
    <row r="135" spans="1:12" ht="41.25" customHeight="1">
      <c r="A135" s="6" t="s">
        <v>373</v>
      </c>
      <c r="B135" s="6" t="s">
        <v>374</v>
      </c>
      <c r="C135" s="6" t="s">
        <v>375</v>
      </c>
      <c r="D135" s="6" t="s">
        <v>376</v>
      </c>
      <c r="E135" s="6" t="s">
        <v>42</v>
      </c>
      <c r="F135" s="6" t="s">
        <v>24</v>
      </c>
      <c r="G135" s="6" t="s">
        <v>377</v>
      </c>
      <c r="H135" s="7">
        <v>46268</v>
      </c>
      <c r="I135" s="7">
        <v>46344</v>
      </c>
      <c r="J135" s="6">
        <f>NETWORKDAYS(H135,I135)</f>
        <v>55</v>
      </c>
      <c r="K135" s="6"/>
      <c r="L135" s="6" t="s">
        <v>378</v>
      </c>
    </row>
    <row r="136" spans="1:12" ht="27.75" customHeight="1">
      <c r="A136" s="6" t="s">
        <v>379</v>
      </c>
      <c r="B136" s="6" t="s">
        <v>380</v>
      </c>
      <c r="C136" s="6" t="s">
        <v>375</v>
      </c>
      <c r="D136" s="6" t="s">
        <v>381</v>
      </c>
      <c r="E136" s="6" t="s">
        <v>42</v>
      </c>
      <c r="F136" s="6" t="s">
        <v>24</v>
      </c>
      <c r="G136" s="6" t="s">
        <v>382</v>
      </c>
      <c r="H136" s="7">
        <v>46267</v>
      </c>
      <c r="I136" s="7">
        <v>46344</v>
      </c>
      <c r="J136" s="6">
        <f>NETWORKDAYS(H136,I136)</f>
        <v>56</v>
      </c>
      <c r="K136" s="6"/>
      <c r="L136" s="6" t="s">
        <v>378</v>
      </c>
    </row>
    <row r="137" spans="1:12" ht="27.75" customHeight="1">
      <c r="A137" s="6" t="s">
        <v>383</v>
      </c>
      <c r="B137" s="6" t="s">
        <v>384</v>
      </c>
      <c r="C137" s="6" t="s">
        <v>375</v>
      </c>
      <c r="D137" s="6" t="s">
        <v>385</v>
      </c>
      <c r="E137" s="6" t="s">
        <v>42</v>
      </c>
      <c r="F137" s="6" t="s">
        <v>24</v>
      </c>
      <c r="G137" s="6" t="s">
        <v>386</v>
      </c>
      <c r="H137" s="7">
        <v>46337</v>
      </c>
      <c r="I137" s="7">
        <v>46337</v>
      </c>
      <c r="J137" s="6">
        <f>NETWORKDAYS(H137,I137)</f>
        <v>1</v>
      </c>
      <c r="K137" s="6"/>
      <c r="L137" s="6" t="s">
        <v>387</v>
      </c>
    </row>
    <row r="138" spans="1:12" ht="15" customHeight="1">
      <c r="A138" s="6" t="s">
        <v>388</v>
      </c>
      <c r="B138" s="6" t="s">
        <v>389</v>
      </c>
      <c r="C138" s="6" t="s">
        <v>375</v>
      </c>
      <c r="D138" s="6" t="s">
        <v>390</v>
      </c>
      <c r="E138" s="6" t="s">
        <v>42</v>
      </c>
      <c r="F138" s="6" t="s">
        <v>24</v>
      </c>
      <c r="G138" s="6" t="s">
        <v>384</v>
      </c>
      <c r="H138" s="7">
        <v>46338</v>
      </c>
      <c r="I138" s="7">
        <v>46338</v>
      </c>
      <c r="J138" s="6">
        <f>NETWORKDAYS(H138,I138)</f>
        <v>1</v>
      </c>
      <c r="K138" s="6"/>
      <c r="L138" s="6"/>
    </row>
    <row r="139" spans="1:12" ht="15" customHeight="1">
      <c r="A139" s="6" t="s">
        <v>391</v>
      </c>
      <c r="B139" s="6" t="s">
        <v>392</v>
      </c>
      <c r="C139" s="6" t="s">
        <v>375</v>
      </c>
      <c r="D139" s="6" t="s">
        <v>393</v>
      </c>
      <c r="E139" s="6" t="s">
        <v>42</v>
      </c>
      <c r="F139" s="6" t="s">
        <v>24</v>
      </c>
      <c r="G139" s="6" t="s">
        <v>389</v>
      </c>
      <c r="H139" s="7">
        <v>46339</v>
      </c>
      <c r="I139" s="7">
        <v>46339</v>
      </c>
      <c r="J139" s="6">
        <f>NETWORKDAYS(H139,I139)</f>
        <v>1</v>
      </c>
      <c r="K139" s="6"/>
      <c r="L139" s="6"/>
    </row>
    <row r="140" spans="1:12" ht="54.75" customHeight="1">
      <c r="A140" s="8"/>
      <c r="B140" s="8"/>
      <c r="C140" s="8"/>
      <c r="D140" s="9" t="s">
        <v>34</v>
      </c>
      <c r="E140" s="10" t="s">
        <v>394</v>
      </c>
      <c r="F140" s="8"/>
      <c r="G140" s="8"/>
      <c r="H140" s="8"/>
      <c r="I140" s="8"/>
      <c r="J140" s="8"/>
      <c r="K140" s="8"/>
      <c r="L140" s="8"/>
    </row>
    <row r="141" spans="1:12" ht="15" customHeight="1">
      <c r="A141" s="11"/>
      <c r="B141" s="11"/>
      <c r="C141" s="11"/>
      <c r="D141" s="12" t="s">
        <v>395</v>
      </c>
      <c r="E141" s="11"/>
      <c r="F141" s="11"/>
      <c r="G141" s="11"/>
      <c r="H141" s="11"/>
      <c r="I141" s="13">
        <v>46344</v>
      </c>
      <c r="J141" s="11"/>
      <c r="K141" s="11"/>
      <c r="L141" s="11"/>
    </row>
    <row r="143" spans="1:12" ht="15" customHeight="1">
      <c r="A143" s="15" t="s">
        <v>396</v>
      </c>
      <c r="B143" s="15"/>
      <c r="C143" s="15"/>
      <c r="D143" s="15"/>
      <c r="E143" s="15"/>
      <c r="F143" s="15"/>
      <c r="G143" s="15"/>
      <c r="H143" s="15"/>
      <c r="I143" s="15"/>
      <c r="J143" s="15"/>
      <c r="K143" s="15"/>
      <c r="L143" s="15"/>
    </row>
    <row r="144" spans="1:12" ht="27.75" customHeight="1">
      <c r="A144" s="6" t="s">
        <v>397</v>
      </c>
      <c r="B144" s="6" t="s">
        <v>398</v>
      </c>
      <c r="C144" s="6" t="s">
        <v>399</v>
      </c>
      <c r="D144" s="6" t="s">
        <v>400</v>
      </c>
      <c r="E144" s="6" t="s">
        <v>42</v>
      </c>
      <c r="F144" s="6" t="s">
        <v>24</v>
      </c>
      <c r="G144" s="6" t="s">
        <v>401</v>
      </c>
      <c r="H144" s="7">
        <v>46342</v>
      </c>
      <c r="I144" s="7">
        <v>46342</v>
      </c>
      <c r="J144" s="6">
        <f>NETWORKDAYS(H144,I144)</f>
        <v>1</v>
      </c>
      <c r="K144" s="6"/>
      <c r="L144" s="6"/>
    </row>
    <row r="145" spans="1:12" ht="15" customHeight="1">
      <c r="A145" s="6" t="s">
        <v>402</v>
      </c>
      <c r="B145" s="6" t="s">
        <v>403</v>
      </c>
      <c r="C145" s="6" t="s">
        <v>399</v>
      </c>
      <c r="D145" s="6" t="s">
        <v>404</v>
      </c>
      <c r="E145" s="6" t="s">
        <v>42</v>
      </c>
      <c r="F145" s="6" t="s">
        <v>81</v>
      </c>
      <c r="G145" s="6" t="s">
        <v>405</v>
      </c>
      <c r="H145" s="7">
        <v>46339</v>
      </c>
      <c r="I145" s="7">
        <v>46339</v>
      </c>
      <c r="J145" s="6">
        <f>NETWORKDAYS(H145,I145)</f>
        <v>1</v>
      </c>
      <c r="K145" s="6"/>
      <c r="L145" s="6" t="s">
        <v>406</v>
      </c>
    </row>
    <row r="146" spans="1:12" ht="15" customHeight="1">
      <c r="A146" s="6" t="s">
        <v>407</v>
      </c>
      <c r="B146" s="6" t="s">
        <v>408</v>
      </c>
      <c r="C146" s="6" t="s">
        <v>399</v>
      </c>
      <c r="D146" s="6" t="s">
        <v>409</v>
      </c>
      <c r="E146" s="6" t="s">
        <v>42</v>
      </c>
      <c r="F146" s="6" t="s">
        <v>110</v>
      </c>
      <c r="G146" s="6" t="s">
        <v>403</v>
      </c>
      <c r="H146" s="7">
        <v>46287</v>
      </c>
      <c r="I146" s="7">
        <v>46287</v>
      </c>
      <c r="J146" s="6">
        <f>NETWORKDAYS(H146,I146)</f>
        <v>1</v>
      </c>
      <c r="K146" s="6"/>
      <c r="L146" s="6" t="s">
        <v>406</v>
      </c>
    </row>
    <row r="147" spans="1:12" ht="15" customHeight="1">
      <c r="A147" s="6" t="s">
        <v>410</v>
      </c>
      <c r="B147" s="6" t="s">
        <v>411</v>
      </c>
      <c r="C147" s="6" t="s">
        <v>399</v>
      </c>
      <c r="D147" s="6" t="s">
        <v>412</v>
      </c>
      <c r="E147" s="6" t="s">
        <v>42</v>
      </c>
      <c r="F147" s="6" t="s">
        <v>110</v>
      </c>
      <c r="G147" s="6" t="s">
        <v>408</v>
      </c>
      <c r="H147" s="7">
        <v>46289</v>
      </c>
      <c r="I147" s="7">
        <v>46289</v>
      </c>
      <c r="J147" s="6">
        <f>NETWORKDAYS(H147,I147)</f>
        <v>1</v>
      </c>
      <c r="K147" s="6"/>
      <c r="L147" s="6" t="s">
        <v>406</v>
      </c>
    </row>
    <row r="148" spans="1:12" ht="15" customHeight="1">
      <c r="A148" s="6" t="s">
        <v>413</v>
      </c>
      <c r="B148" s="6" t="s">
        <v>414</v>
      </c>
      <c r="C148" s="6" t="s">
        <v>399</v>
      </c>
      <c r="D148" s="6" t="s">
        <v>415</v>
      </c>
      <c r="E148" s="6" t="s">
        <v>42</v>
      </c>
      <c r="F148" s="6" t="s">
        <v>129</v>
      </c>
      <c r="G148" s="6" t="s">
        <v>411</v>
      </c>
      <c r="H148" s="7">
        <v>46290</v>
      </c>
      <c r="I148" s="7">
        <v>46290</v>
      </c>
      <c r="J148" s="6">
        <f>NETWORKDAYS(H148,I148)</f>
        <v>1</v>
      </c>
      <c r="K148" s="6"/>
      <c r="L148" s="6" t="s">
        <v>406</v>
      </c>
    </row>
    <row r="149" spans="1:12" ht="15" customHeight="1">
      <c r="A149" s="6" t="s">
        <v>416</v>
      </c>
      <c r="B149" s="6" t="s">
        <v>417</v>
      </c>
      <c r="C149" s="6" t="s">
        <v>399</v>
      </c>
      <c r="D149" s="6" t="s">
        <v>418</v>
      </c>
      <c r="E149" s="6" t="s">
        <v>42</v>
      </c>
      <c r="F149" s="6" t="s">
        <v>24</v>
      </c>
      <c r="G149" s="6" t="s">
        <v>414</v>
      </c>
      <c r="H149" s="7">
        <v>46321</v>
      </c>
      <c r="I149" s="7">
        <v>46321</v>
      </c>
      <c r="J149" s="6">
        <f>NETWORKDAYS(H149,I149)</f>
        <v>1</v>
      </c>
      <c r="K149" s="6"/>
      <c r="L149" s="6" t="s">
        <v>406</v>
      </c>
    </row>
    <row r="150" spans="1:12" ht="15" customHeight="1">
      <c r="A150" s="6" t="s">
        <v>419</v>
      </c>
      <c r="B150" s="6" t="s">
        <v>420</v>
      </c>
      <c r="C150" s="6" t="s">
        <v>399</v>
      </c>
      <c r="D150" s="6" t="s">
        <v>421</v>
      </c>
      <c r="E150" s="6" t="s">
        <v>42</v>
      </c>
      <c r="F150" s="6" t="s">
        <v>145</v>
      </c>
      <c r="G150" s="6" t="s">
        <v>417</v>
      </c>
      <c r="H150" s="7">
        <v>46289</v>
      </c>
      <c r="I150" s="7">
        <v>46289</v>
      </c>
      <c r="J150" s="6">
        <f>NETWORKDAYS(H150,I150)</f>
        <v>1</v>
      </c>
      <c r="K150" s="6"/>
      <c r="L150" s="6" t="s">
        <v>406</v>
      </c>
    </row>
    <row r="151" spans="1:12" ht="15" customHeight="1">
      <c r="A151" s="6" t="s">
        <v>422</v>
      </c>
      <c r="B151" s="6" t="s">
        <v>423</v>
      </c>
      <c r="C151" s="6" t="s">
        <v>399</v>
      </c>
      <c r="D151" s="6" t="s">
        <v>424</v>
      </c>
      <c r="E151" s="6" t="s">
        <v>42</v>
      </c>
      <c r="F151" s="6" t="s">
        <v>309</v>
      </c>
      <c r="G151" s="6" t="s">
        <v>420</v>
      </c>
      <c r="H151" s="7">
        <v>46336</v>
      </c>
      <c r="I151" s="7">
        <v>46336</v>
      </c>
      <c r="J151" s="6">
        <f>NETWORKDAYS(H151,I151)</f>
        <v>1</v>
      </c>
      <c r="K151" s="6"/>
      <c r="L151" s="6" t="s">
        <v>406</v>
      </c>
    </row>
    <row r="152" spans="1:12" ht="27.75" customHeight="1">
      <c r="A152" s="6" t="s">
        <v>425</v>
      </c>
      <c r="B152" s="6" t="s">
        <v>426</v>
      </c>
      <c r="C152" s="6" t="s">
        <v>399</v>
      </c>
      <c r="D152" s="6" t="s">
        <v>427</v>
      </c>
      <c r="E152" s="6" t="s">
        <v>42</v>
      </c>
      <c r="F152" s="6" t="s">
        <v>24</v>
      </c>
      <c r="G152" s="6" t="s">
        <v>428</v>
      </c>
      <c r="H152" s="7">
        <v>46343</v>
      </c>
      <c r="I152" s="7">
        <v>46343</v>
      </c>
      <c r="J152" s="6">
        <f>NETWORKDAYS(H152,I152)</f>
        <v>1</v>
      </c>
      <c r="K152" s="6"/>
      <c r="L152" s="6"/>
    </row>
    <row r="153" spans="1:12" ht="15" customHeight="1">
      <c r="A153" s="6" t="s">
        <v>429</v>
      </c>
      <c r="B153" s="6" t="s">
        <v>430</v>
      </c>
      <c r="C153" s="6" t="s">
        <v>399</v>
      </c>
      <c r="D153" s="6" t="s">
        <v>431</v>
      </c>
      <c r="E153" s="6" t="s">
        <v>42</v>
      </c>
      <c r="F153" s="6" t="s">
        <v>24</v>
      </c>
      <c r="G153" s="6" t="s">
        <v>426</v>
      </c>
      <c r="H153" s="7">
        <v>46344</v>
      </c>
      <c r="I153" s="7">
        <v>46344</v>
      </c>
      <c r="J153" s="6">
        <f>NETWORKDAYS(H153,I153)</f>
        <v>1</v>
      </c>
      <c r="K153" s="6"/>
      <c r="L153" s="6"/>
    </row>
    <row r="154" spans="1:12" ht="68.25" customHeight="1">
      <c r="A154" s="8"/>
      <c r="B154" s="8"/>
      <c r="C154" s="8"/>
      <c r="D154" s="9" t="s">
        <v>34</v>
      </c>
      <c r="E154" s="10" t="s">
        <v>432</v>
      </c>
      <c r="F154" s="8"/>
      <c r="G154" s="8"/>
      <c r="H154" s="8"/>
      <c r="I154" s="8"/>
      <c r="J154" s="8"/>
      <c r="K154" s="8"/>
      <c r="L154" s="8"/>
    </row>
    <row r="155" spans="1:12" ht="15" customHeight="1">
      <c r="A155" s="11"/>
      <c r="B155" s="11"/>
      <c r="C155" s="11"/>
      <c r="D155" s="12" t="s">
        <v>433</v>
      </c>
      <c r="E155" s="11"/>
      <c r="F155" s="11"/>
      <c r="G155" s="11"/>
      <c r="H155" s="11"/>
      <c r="I155" s="13">
        <v>46344</v>
      </c>
      <c r="J155" s="11"/>
      <c r="K155" s="11"/>
      <c r="L155" s="11"/>
    </row>
  </sheetData>
  <mergeCells count="12">
    <mergeCell ref="A5:L5"/>
    <mergeCell ref="A12:L12"/>
    <mergeCell ref="A26:L26"/>
    <mergeCell ref="A37:L37"/>
    <mergeCell ref="A48:L48"/>
    <mergeCell ref="A134:L134"/>
    <mergeCell ref="A143:L143"/>
    <mergeCell ref="A55:L55"/>
    <mergeCell ref="A64:L64"/>
    <mergeCell ref="A101:L101"/>
    <mergeCell ref="A112:L112"/>
    <mergeCell ref="A128:L12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tabSelected="1" zoomScaleNormal="100" workbookViewId="0">
      <selection sqref="A1:D1"/>
    </sheetView>
  </sheetViews>
  <sheetFormatPr defaultColWidth="8.7109375" defaultRowHeight="15"/>
  <cols>
    <col min="1" max="1" width="28" customWidth="1"/>
    <col min="2" max="2" width="55" customWidth="1"/>
    <col min="3" max="3" width="65" customWidth="1"/>
  </cols>
  <sheetData>
    <row r="1" spans="1:4" ht="15.75" customHeight="1">
      <c r="A1" s="14" t="s">
        <v>434</v>
      </c>
      <c r="B1" s="14"/>
      <c r="C1" s="14"/>
      <c r="D1" s="14"/>
    </row>
    <row r="3" spans="1:4" ht="15" customHeight="1">
      <c r="A3" s="5" t="s">
        <v>435</v>
      </c>
      <c r="B3" s="5" t="s">
        <v>436</v>
      </c>
      <c r="C3" s="5" t="s">
        <v>437</v>
      </c>
    </row>
    <row r="4" spans="1:4" ht="41.25" customHeight="1">
      <c r="A4" s="6" t="s">
        <v>438</v>
      </c>
      <c r="B4" s="6" t="s">
        <v>439</v>
      </c>
      <c r="C4" s="6" t="s">
        <v>440</v>
      </c>
    </row>
    <row r="5" spans="1:4" ht="68.25" customHeight="1">
      <c r="A5" s="6" t="s">
        <v>441</v>
      </c>
      <c r="B5" s="6" t="s">
        <v>442</v>
      </c>
      <c r="C5" s="6" t="s">
        <v>443</v>
      </c>
    </row>
    <row r="6" spans="1:4" ht="27.75" customHeight="1">
      <c r="A6" s="6" t="s">
        <v>444</v>
      </c>
      <c r="B6" s="6" t="s">
        <v>445</v>
      </c>
      <c r="C6" s="6" t="s">
        <v>446</v>
      </c>
    </row>
    <row r="7" spans="1:4" ht="95.25" customHeight="1">
      <c r="A7" s="6" t="s">
        <v>447</v>
      </c>
      <c r="B7" s="6" t="s">
        <v>448</v>
      </c>
      <c r="C7" s="6" t="s">
        <v>449</v>
      </c>
    </row>
    <row r="8" spans="1:4" ht="41.25" customHeight="1">
      <c r="A8" s="6" t="s">
        <v>450</v>
      </c>
      <c r="B8" s="6" t="s">
        <v>451</v>
      </c>
      <c r="C8" s="6" t="s">
        <v>452</v>
      </c>
    </row>
    <row r="9" spans="1:4" ht="54.75" customHeight="1">
      <c r="A9" s="6" t="s">
        <v>453</v>
      </c>
      <c r="B9" s="6" t="s">
        <v>454</v>
      </c>
      <c r="C9" s="6" t="s">
        <v>455</v>
      </c>
    </row>
    <row r="10" spans="1:4" ht="108.75" customHeight="1">
      <c r="A10" s="6" t="s">
        <v>456</v>
      </c>
      <c r="B10" s="6" t="s">
        <v>457</v>
      </c>
      <c r="C10" s="6" t="s">
        <v>458</v>
      </c>
    </row>
    <row r="11" spans="1:4" ht="68.25" customHeight="1">
      <c r="A11" s="6" t="s">
        <v>459</v>
      </c>
      <c r="B11" s="6" t="s">
        <v>460</v>
      </c>
      <c r="C11" s="6" t="s">
        <v>461</v>
      </c>
    </row>
    <row r="12" spans="1:4" ht="54.75" customHeight="1">
      <c r="A12" s="6" t="s">
        <v>462</v>
      </c>
      <c r="B12" s="6" t="s">
        <v>463</v>
      </c>
      <c r="C12" s="6" t="s">
        <v>464</v>
      </c>
    </row>
    <row r="13" spans="1:4" ht="27.75" customHeight="1">
      <c r="A13" s="6" t="s">
        <v>465</v>
      </c>
      <c r="B13" s="6" t="s">
        <v>466</v>
      </c>
      <c r="C13" s="6" t="s">
        <v>467</v>
      </c>
    </row>
    <row r="14" spans="1:4" ht="27.75" customHeight="1">
      <c r="A14" s="6" t="s">
        <v>15</v>
      </c>
      <c r="B14" s="6" t="s">
        <v>468</v>
      </c>
      <c r="C14" s="6" t="s">
        <v>469</v>
      </c>
    </row>
    <row r="15" spans="1:4" ht="27.75" customHeight="1">
      <c r="A15" s="6" t="s">
        <v>470</v>
      </c>
      <c r="B15" s="6" t="s">
        <v>471</v>
      </c>
      <c r="C15" s="6" t="s">
        <v>472</v>
      </c>
    </row>
    <row r="16" spans="1:4" ht="27.75" customHeight="1">
      <c r="A16" s="6" t="s">
        <v>473</v>
      </c>
      <c r="B16" s="6" t="s">
        <v>474</v>
      </c>
      <c r="C16" s="6" t="s">
        <v>475</v>
      </c>
    </row>
    <row r="17" spans="1:3" ht="27.75" customHeight="1">
      <c r="A17" s="6" t="s">
        <v>476</v>
      </c>
      <c r="B17" s="6" t="s">
        <v>477</v>
      </c>
      <c r="C17" s="6" t="s">
        <v>478</v>
      </c>
    </row>
    <row r="18" spans="1:3" ht="27.75" customHeight="1">
      <c r="A18" s="6" t="s">
        <v>479</v>
      </c>
      <c r="B18" s="6" t="s">
        <v>480</v>
      </c>
      <c r="C18" s="6" t="s">
        <v>481</v>
      </c>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2026-08-27T22:43:24Z</dcterms:created>
  <dcterms:modified xsi:type="dcterms:W3CDTF">2026-08-27T23:39:46Z</dcterms:modified>
  <cp:category/>
  <cp:contentStatus/>
</cp:coreProperties>
</file>