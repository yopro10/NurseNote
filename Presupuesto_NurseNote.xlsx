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3C0F4A73-8540-41A8-B070-D97088E6C4B4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resupuesto del proyecto" sheetId="1" r:id="rId1"/>
    <sheet name="listas desplegables" sheetId="2" r:id="rId2"/>
    <sheet name="Cambios realizado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32" i="1" l="1"/>
  <c r="N132" i="1"/>
  <c r="K132" i="1"/>
  <c r="O131" i="1"/>
  <c r="N131" i="1"/>
  <c r="K131" i="1"/>
  <c r="O130" i="1"/>
  <c r="N130" i="1"/>
  <c r="K130" i="1"/>
  <c r="O129" i="1"/>
  <c r="N129" i="1"/>
  <c r="K129" i="1"/>
  <c r="O128" i="1"/>
  <c r="N128" i="1"/>
  <c r="K128" i="1"/>
  <c r="O127" i="1"/>
  <c r="N127" i="1"/>
  <c r="K127" i="1"/>
  <c r="O126" i="1"/>
  <c r="N126" i="1"/>
  <c r="K126" i="1"/>
  <c r="O125" i="1"/>
  <c r="N125" i="1"/>
  <c r="K125" i="1"/>
  <c r="O124" i="1"/>
  <c r="N124" i="1"/>
  <c r="K124" i="1"/>
  <c r="O123" i="1"/>
  <c r="N123" i="1"/>
  <c r="K123" i="1"/>
  <c r="O122" i="1"/>
  <c r="N122" i="1"/>
  <c r="K122" i="1"/>
  <c r="O121" i="1"/>
  <c r="O134" i="1" s="1"/>
  <c r="N121" i="1"/>
  <c r="N134" i="1" s="1"/>
  <c r="K121" i="1"/>
  <c r="K134" i="1" s="1"/>
  <c r="M120" i="1"/>
  <c r="M119" i="1"/>
  <c r="M118" i="1"/>
  <c r="M117" i="1"/>
  <c r="M116" i="1"/>
  <c r="M115" i="1"/>
  <c r="M114" i="1"/>
  <c r="M113" i="1"/>
  <c r="M112" i="1"/>
  <c r="M111" i="1"/>
  <c r="M109" i="1"/>
  <c r="M108" i="1"/>
  <c r="M107" i="1"/>
  <c r="M106" i="1"/>
  <c r="M105" i="1"/>
  <c r="M103" i="1"/>
  <c r="M102" i="1"/>
  <c r="M100" i="1"/>
  <c r="M99" i="1"/>
  <c r="M98" i="1"/>
  <c r="M97" i="1"/>
  <c r="M96" i="1"/>
  <c r="M95" i="1"/>
  <c r="M94" i="1"/>
  <c r="M93" i="1"/>
  <c r="M92" i="1"/>
  <c r="M91" i="1"/>
  <c r="M90" i="1"/>
  <c r="M89" i="1"/>
  <c r="M87" i="1"/>
  <c r="M86" i="1"/>
  <c r="M85" i="1"/>
  <c r="M84" i="1"/>
  <c r="M83" i="1"/>
  <c r="M82" i="1"/>
  <c r="M81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5" i="1"/>
  <c r="M44" i="1"/>
  <c r="M43" i="1"/>
  <c r="M42" i="1"/>
  <c r="M41" i="1"/>
  <c r="M39" i="1"/>
  <c r="M38" i="1"/>
  <c r="M37" i="1"/>
  <c r="M35" i="1"/>
  <c r="M34" i="1"/>
  <c r="M33" i="1"/>
  <c r="M32" i="1"/>
  <c r="M31" i="1"/>
  <c r="M30" i="1"/>
  <c r="M29" i="1"/>
  <c r="M27" i="1"/>
  <c r="M26" i="1"/>
  <c r="M25" i="1"/>
  <c r="M24" i="1"/>
  <c r="M23" i="1"/>
  <c r="M22" i="1"/>
  <c r="M21" i="1"/>
  <c r="M19" i="1"/>
  <c r="M18" i="1"/>
  <c r="M17" i="1"/>
  <c r="M16" i="1"/>
  <c r="M15" i="1"/>
  <c r="M14" i="1"/>
  <c r="M13" i="1"/>
  <c r="M12" i="1"/>
  <c r="M11" i="1"/>
  <c r="M10" i="1"/>
  <c r="M8" i="1"/>
  <c r="M7" i="1"/>
  <c r="M6" i="1"/>
  <c r="M121" i="1" l="1"/>
  <c r="P6" i="1"/>
  <c r="P7" i="1"/>
  <c r="Q7" i="1" s="1"/>
  <c r="P8" i="1"/>
  <c r="Q8" i="1" s="1"/>
  <c r="M122" i="1"/>
  <c r="P10" i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M123" i="1"/>
  <c r="P21" i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M124" i="1"/>
  <c r="P29" i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M125" i="1"/>
  <c r="P37" i="1"/>
  <c r="P38" i="1"/>
  <c r="Q38" i="1" s="1"/>
  <c r="P39" i="1"/>
  <c r="Q39" i="1" s="1"/>
  <c r="M126" i="1"/>
  <c r="P41" i="1"/>
  <c r="P42" i="1"/>
  <c r="Q42" i="1" s="1"/>
  <c r="P43" i="1"/>
  <c r="Q43" i="1" s="1"/>
  <c r="P44" i="1"/>
  <c r="Q44" i="1" s="1"/>
  <c r="P45" i="1"/>
  <c r="Q45" i="1" s="1"/>
  <c r="M127" i="1"/>
  <c r="P47" i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M128" i="1"/>
  <c r="P81" i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M129" i="1"/>
  <c r="P89" i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M130" i="1"/>
  <c r="P102" i="1"/>
  <c r="P103" i="1"/>
  <c r="Q103" i="1" s="1"/>
  <c r="M131" i="1"/>
  <c r="P105" i="1"/>
  <c r="P106" i="1"/>
  <c r="Q106" i="1" s="1"/>
  <c r="P107" i="1"/>
  <c r="Q107" i="1" s="1"/>
  <c r="P108" i="1"/>
  <c r="Q108" i="1" s="1"/>
  <c r="P109" i="1"/>
  <c r="Q109" i="1" s="1"/>
  <c r="M132" i="1"/>
  <c r="P111" i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32" i="1" l="1"/>
  <c r="Q111" i="1"/>
  <c r="Q132" i="1" s="1"/>
  <c r="P131" i="1"/>
  <c r="Q105" i="1"/>
  <c r="Q131" i="1" s="1"/>
  <c r="P130" i="1"/>
  <c r="Q102" i="1"/>
  <c r="Q130" i="1" s="1"/>
  <c r="P129" i="1"/>
  <c r="Q89" i="1"/>
  <c r="Q129" i="1" s="1"/>
  <c r="P128" i="1"/>
  <c r="Q81" i="1"/>
  <c r="Q128" i="1" s="1"/>
  <c r="P127" i="1"/>
  <c r="Q47" i="1"/>
  <c r="Q127" i="1" s="1"/>
  <c r="P126" i="1"/>
  <c r="Q41" i="1"/>
  <c r="Q126" i="1" s="1"/>
  <c r="P125" i="1"/>
  <c r="Q37" i="1"/>
  <c r="Q125" i="1" s="1"/>
  <c r="P124" i="1"/>
  <c r="Q29" i="1"/>
  <c r="Q124" i="1" s="1"/>
  <c r="P123" i="1"/>
  <c r="Q21" i="1"/>
  <c r="Q123" i="1" s="1"/>
  <c r="P122" i="1"/>
  <c r="Q10" i="1"/>
  <c r="Q122" i="1" s="1"/>
  <c r="P121" i="1"/>
  <c r="P134" i="1" s="1"/>
  <c r="Q6" i="1"/>
  <c r="Q121" i="1" s="1"/>
  <c r="Q134" i="1" s="1"/>
  <c r="M134" i="1"/>
</calcChain>
</file>

<file path=xl/sharedStrings.xml><?xml version="1.0" encoding="utf-8"?>
<sst xmlns="http://schemas.openxmlformats.org/spreadsheetml/2006/main" count="934" uniqueCount="564">
  <si>
    <t>Presupuesto de Proyecto — NurseNote</t>
  </si>
  <si>
    <t>ID EDT</t>
  </si>
  <si>
    <t>ID Actividad</t>
  </si>
  <si>
    <t>Fase</t>
  </si>
  <si>
    <t>Actividad</t>
  </si>
  <si>
    <t>Descripción</t>
  </si>
  <si>
    <t>Responsable(s)</t>
  </si>
  <si>
    <t>Recursos/Herramientas</t>
  </si>
  <si>
    <t>Estado</t>
  </si>
  <si>
    <t>Fecha Inicio Plan.</t>
  </si>
  <si>
    <t>Fecha Fin Plan.</t>
  </si>
  <si>
    <t>Horas</t>
  </si>
  <si>
    <t>Valor Hora</t>
  </si>
  <si>
    <t>Total Mano de Obra</t>
  </si>
  <si>
    <t>Materiales</t>
  </si>
  <si>
    <t>Equipos</t>
  </si>
  <si>
    <t>Misceláneos (10% M.O.)</t>
  </si>
  <si>
    <t>Presupuesto Total</t>
  </si>
  <si>
    <t>Observación / Estimación</t>
  </si>
  <si>
    <t>Fase 1 - Inicio y definición del proyecto</t>
  </si>
  <si>
    <t>1.1</t>
  </si>
  <si>
    <t>A01</t>
  </si>
  <si>
    <t>Fase 1</t>
  </si>
  <si>
    <t>Definición del Proyecto</t>
  </si>
  <si>
    <t>Entender las necesidades del cliente</t>
  </si>
  <si>
    <t>Todo el equipo</t>
  </si>
  <si>
    <t>Word</t>
  </si>
  <si>
    <t>No Iniciado</t>
  </si>
  <si>
    <t>1.2</t>
  </si>
  <si>
    <t>A02</t>
  </si>
  <si>
    <t>Identificar los interesados</t>
  </si>
  <si>
    <t>Identificar 3 tipos de usuarios con diferentes niveles de permisos</t>
  </si>
  <si>
    <t>1.3</t>
  </si>
  <si>
    <t>A03</t>
  </si>
  <si>
    <t>Levantamiento de requerimientos</t>
  </si>
  <si>
    <t>Se identifican las características que necesita el cliente final</t>
  </si>
  <si>
    <t>Fase 2 - Planificación del proyecto</t>
  </si>
  <si>
    <t>2.1</t>
  </si>
  <si>
    <t>A04</t>
  </si>
  <si>
    <t>Fase 2</t>
  </si>
  <si>
    <t>Establecer el alcance del proyecto</t>
  </si>
  <si>
    <t>Se delimita el desarrollo a las necesidades ya pactadas</t>
  </si>
  <si>
    <t>2.2</t>
  </si>
  <si>
    <t>A05</t>
  </si>
  <si>
    <t>Elaboración de la EDT</t>
  </si>
  <si>
    <t>Se desglosa el proyecto y se asignan tareas</t>
  </si>
  <si>
    <t>2.3</t>
  </si>
  <si>
    <t>A06</t>
  </si>
  <si>
    <t>Definir módulos principales de entrega</t>
  </si>
  <si>
    <t>Se establecen los módulos principales</t>
  </si>
  <si>
    <t>2.4</t>
  </si>
  <si>
    <t>A07</t>
  </si>
  <si>
    <t>Construcción del cronograma de actividades</t>
  </si>
  <si>
    <t>Se asignan las fechas en que se realizará cada actividad</t>
  </si>
  <si>
    <t>2.5</t>
  </si>
  <si>
    <t>A08</t>
  </si>
  <si>
    <t>Asignación de responsabilidades por tarea</t>
  </si>
  <si>
    <t>Se definen los responsables por actividad</t>
  </si>
  <si>
    <t>2.6</t>
  </si>
  <si>
    <t>A09</t>
  </si>
  <si>
    <t>Estimar recursos y necesidades</t>
  </si>
  <si>
    <t>Con base en el análisis de la EDT se documentan recursos y necesidades</t>
  </si>
  <si>
    <t>Word, Excel</t>
  </si>
  <si>
    <t>2.7</t>
  </si>
  <si>
    <t>A10</t>
  </si>
  <si>
    <t>Estimar costos y presupuestos</t>
  </si>
  <si>
    <t>Con base en los recursos y necesidades se genera el presupuesto</t>
  </si>
  <si>
    <t>2.8</t>
  </si>
  <si>
    <t>A11</t>
  </si>
  <si>
    <t>Identificación de riesgos del proyecto</t>
  </si>
  <si>
    <t>Se realiza el análisis de los potenciales riesgos del proyecto</t>
  </si>
  <si>
    <t>Word, Excel, Teams</t>
  </si>
  <si>
    <t>2.9</t>
  </si>
  <si>
    <t>A12</t>
  </si>
  <si>
    <t>Plan de mitigación de riesgos</t>
  </si>
  <si>
    <t>Se define una estrategia para mitigar los riesgos del proyecto</t>
  </si>
  <si>
    <t>2.10</t>
  </si>
  <si>
    <t>A13</t>
  </si>
  <si>
    <t>Planes de comunicación</t>
  </si>
  <si>
    <t>Se establecen los canales de comunicación del equipo</t>
  </si>
  <si>
    <t>Word, Teams, WhatsApp</t>
  </si>
  <si>
    <t>Fase 3 - Levantamiento y definición de requisitos</t>
  </si>
  <si>
    <t>3.1</t>
  </si>
  <si>
    <t>A14</t>
  </si>
  <si>
    <t>Fase 3</t>
  </si>
  <si>
    <t>Identificación de actores del sistema</t>
  </si>
  <si>
    <t>Definir actores: enfermero/a, administrador; aclarar rol del familiar como dato, no actor</t>
  </si>
  <si>
    <t>Analista</t>
  </si>
  <si>
    <t>Analista, Word</t>
  </si>
  <si>
    <t>3.2</t>
  </si>
  <si>
    <t>A15</t>
  </si>
  <si>
    <t>Levantamiento de requisitos funcionales</t>
  </si>
  <si>
    <t>RF de pacientes, notas, medicamentos, alertas, usuarios/roles</t>
  </si>
  <si>
    <t>3.3</t>
  </si>
  <si>
    <t>A16</t>
  </si>
  <si>
    <t>Levantamiento de requisitos no funcionales</t>
  </si>
  <si>
    <t>Seguridad, usabilidad, rendimiento básico</t>
  </si>
  <si>
    <t>3.4</t>
  </si>
  <si>
    <t>A17</t>
  </si>
  <si>
    <t>Priorización y validación de requisitos</t>
  </si>
  <si>
    <t>Priorizar según objetivos del acta y validar con la docente</t>
  </si>
  <si>
    <t>Analista, PM</t>
  </si>
  <si>
    <t>3.5</t>
  </si>
  <si>
    <t>A18</t>
  </si>
  <si>
    <t>Especificación formal de requerimientos</t>
  </si>
  <si>
    <t>Fichas de requerimiento (actor, precondiciones, flujo, postcondiciones)</t>
  </si>
  <si>
    <t>3.6</t>
  </si>
  <si>
    <t>A19</t>
  </si>
  <si>
    <t>Elaboración de casos de uso</t>
  </si>
  <si>
    <t>CU: autenticarse, paciente, nota, medicamento/stock, alerta, usuarios/roles</t>
  </si>
  <si>
    <t>3.7</t>
  </si>
  <si>
    <t>A20</t>
  </si>
  <si>
    <t>Matriz de trazabilidad requisito-objetivo-caso de uso</t>
  </si>
  <si>
    <t>Vincular cada requisito con el objetivo específico que soporta</t>
  </si>
  <si>
    <t>Analista, Excel</t>
  </si>
  <si>
    <t>Fase 4 - Análisis y modelado UML</t>
  </si>
  <si>
    <t>4.1</t>
  </si>
  <si>
    <t>A21</t>
  </si>
  <si>
    <t>Fase 4</t>
  </si>
  <si>
    <t>Diagrama de casos de uso general</t>
  </si>
  <si>
    <t>Consolidar CU de la fase 3 en diagrama por actor</t>
  </si>
  <si>
    <t>Arquitecto</t>
  </si>
  <si>
    <t>Arquitecto, Lucidchart</t>
  </si>
  <si>
    <t>4.2</t>
  </si>
  <si>
    <t>A22</t>
  </si>
  <si>
    <t>Diagrama de clases</t>
  </si>
  <si>
    <t>Usuario, Rol, Paciente, NotaEnfermeria, Medicamento + atributos y relaciones</t>
  </si>
  <si>
    <t>4.3</t>
  </si>
  <si>
    <t>A23</t>
  </si>
  <si>
    <t>Diagrama de actividades</t>
  </si>
  <si>
    <t>Flujo de registrar nota; flujo de alerta de medicamento</t>
  </si>
  <si>
    <t>4.4</t>
  </si>
  <si>
    <t>A24</t>
  </si>
  <si>
    <t>Diagramas de secuencia</t>
  </si>
  <si>
    <t>Secuencia de autenticación; secuencia de registro de nota</t>
  </si>
  <si>
    <t>4.5</t>
  </si>
  <si>
    <t>A25</t>
  </si>
  <si>
    <t>Diagrama de estados</t>
  </si>
  <si>
    <t>Estados de Medicamento (Vigente→Próximo→Vencido) y Usuario (Activo→Suspendido→Inactivo)</t>
  </si>
  <si>
    <t>4.6</t>
  </si>
  <si>
    <t>A26</t>
  </si>
  <si>
    <t>Diagrama de paquetes/componentes</t>
  </si>
  <si>
    <t>Agrupar en Modelos, Vistas, Controladores, Servicios de seguridad</t>
  </si>
  <si>
    <t>4.7</t>
  </si>
  <si>
    <t>A27</t>
  </si>
  <si>
    <t>Boceto entidad-relación preliminar</t>
  </si>
  <si>
    <t>Boceto inicial de entidades y relaciones (se detalla en fase 5)</t>
  </si>
  <si>
    <t>DBA</t>
  </si>
  <si>
    <t>DBA, Lucidchart</t>
  </si>
  <si>
    <t>Fase 5 - Diseño del sistema</t>
  </si>
  <si>
    <t>5.1</t>
  </si>
  <si>
    <t>A28</t>
  </si>
  <si>
    <t>Fase 5</t>
  </si>
  <si>
    <t>Diseño de arquitectura</t>
  </si>
  <si>
    <t>Componentes, capas, comunicación frontend-backend-BD</t>
  </si>
  <si>
    <t>Arquitecto, Word</t>
  </si>
  <si>
    <t>Costo de equipos trasladado desde la línea agregada 'Diseño de la arquitectura y la base de datos' del presupuesto original.</t>
  </si>
  <si>
    <t>5.2</t>
  </si>
  <si>
    <t>A29</t>
  </si>
  <si>
    <t>Diseño de base de datos</t>
  </si>
  <si>
    <t>Modelo ER completo, modelo físico, PK/FK, validación con el equipo</t>
  </si>
  <si>
    <t>DBA, MySQL Workbench</t>
  </si>
  <si>
    <t>5.3</t>
  </si>
  <si>
    <t>A30</t>
  </si>
  <si>
    <t>Diseño UX/UI</t>
  </si>
  <si>
    <t>Wireframes, prototipo navegable, formularios, navegación por rol, validación con usuario</t>
  </si>
  <si>
    <t>Diseñador UX/UI</t>
  </si>
  <si>
    <t>Diseñador UX/UI, Figma</t>
  </si>
  <si>
    <t>Costo de equipos trasladado desde la línea agregada 'Desarrollo Frontend' del presupuesto original (licencia de herramienta de diseño).</t>
  </si>
  <si>
    <t>Fase 6 - Configuración del entorno de desarrollo</t>
  </si>
  <si>
    <t>6.1</t>
  </si>
  <si>
    <t>A31</t>
  </si>
  <si>
    <t>Fase 6</t>
  </si>
  <si>
    <t>Repositorio y control de versiones</t>
  </si>
  <si>
    <t>Crear repositorio, estrategia de ramas, convención de commits</t>
  </si>
  <si>
    <t>DevOps</t>
  </si>
  <si>
    <t>DevOps, GitHub</t>
  </si>
  <si>
    <t>6.2</t>
  </si>
  <si>
    <t>A32</t>
  </si>
  <si>
    <t>Estructura base del proyecto</t>
  </si>
  <si>
    <t>Carpetas backend/frontend, dependencias base</t>
  </si>
  <si>
    <t>DevOps, entorno dev</t>
  </si>
  <si>
    <t>Costo de equipos trasladado desde la línea agregada 'Desarrollo Backend' del presupuesto original (licencias/herramientas de entorno).</t>
  </si>
  <si>
    <t>6.3</t>
  </si>
  <si>
    <t>A33</t>
  </si>
  <si>
    <t>Configuración de base de datos</t>
  </si>
  <si>
    <t>Instalar motor, script inicial desde modelo físico</t>
  </si>
  <si>
    <t>DBA, MySQL</t>
  </si>
  <si>
    <t>6.4</t>
  </si>
  <si>
    <t>A34</t>
  </si>
  <si>
    <t>Configuración de ambientes</t>
  </si>
  <si>
    <t>Ambiente local, variables de entorno, credenciales</t>
  </si>
  <si>
    <t>6.5</t>
  </si>
  <si>
    <t>A35</t>
  </si>
  <si>
    <t>Definición de estándares de desarrollo</t>
  </si>
  <si>
    <t>Convenciones de código, commits/PR, manejo de errores</t>
  </si>
  <si>
    <t>Fase 7 - Desarrollo del prototipo funcional</t>
  </si>
  <si>
    <t>7.1.1</t>
  </si>
  <si>
    <t>A36.1</t>
  </si>
  <si>
    <t>Fase 7</t>
  </si>
  <si>
    <t>Backend: registro/login y cifrado de contraseñas</t>
  </si>
  <si>
    <t>Implementar registro e inicio de sesión con cifrado</t>
  </si>
  <si>
    <t>Backend</t>
  </si>
  <si>
    <t>7.1.2</t>
  </si>
  <si>
    <t>A36.2</t>
  </si>
  <si>
    <t>Backend: control de acceso según rol</t>
  </si>
  <si>
    <t>Implementar middleware de autorización por tipo de usuario</t>
  </si>
  <si>
    <t>7.1.3</t>
  </si>
  <si>
    <t>A36.3</t>
  </si>
  <si>
    <t>Frontend: pantallas de login/registro</t>
  </si>
  <si>
    <t>Desarrollar interfaces de inicio de sesión y registro</t>
  </si>
  <si>
    <t>Frontend</t>
  </si>
  <si>
    <t>7.1.4</t>
  </si>
  <si>
    <t>A36.4</t>
  </si>
  <si>
    <t>Validaciones de credenciales y campos obligatorios</t>
  </si>
  <si>
    <t>Validar credenciales inválidas y campos vacíos</t>
  </si>
  <si>
    <t>Backend, Frontend</t>
  </si>
  <si>
    <t>7.1.5</t>
  </si>
  <si>
    <t>A36.5</t>
  </si>
  <si>
    <t>Seguridad: mecanismo de sesión/token y expiración</t>
  </si>
  <si>
    <t>Definir manejo de sesión/token y su expiración</t>
  </si>
  <si>
    <t>7.2.1</t>
  </si>
  <si>
    <t>A37.1</t>
  </si>
  <si>
    <t>Backend: CRUD de usuarios y asignación de rol</t>
  </si>
  <si>
    <t>Crear, editar, consultar y asignar rol a usuarios</t>
  </si>
  <si>
    <t>7.2.2</t>
  </si>
  <si>
    <t>A37.2</t>
  </si>
  <si>
    <t>Frontend: pantalla de administración de usuarios</t>
  </si>
  <si>
    <t>Desarrollar pantalla de administración visible para el administrador</t>
  </si>
  <si>
    <t>7.2.3</t>
  </si>
  <si>
    <t>A37.3</t>
  </si>
  <si>
    <t>Validaciones: unicidad de usuario/correo y rol obligatorio</t>
  </si>
  <si>
    <t>Evitar usuarios o correos duplicados y roles vacíos</t>
  </si>
  <si>
    <t>7.3.1</t>
  </si>
  <si>
    <t>A38.1</t>
  </si>
  <si>
    <t>Backend: CRUD de pacientes</t>
  </si>
  <si>
    <t>Crear, editar y consultar pacientes</t>
  </si>
  <si>
    <t>7.3.2</t>
  </si>
  <si>
    <t>A38.2</t>
  </si>
  <si>
    <t>Frontend: formulario y listado de pacientes</t>
  </si>
  <si>
    <t>Desarrollar registro, edición y listado de pacientes</t>
  </si>
  <si>
    <t>7.3.3</t>
  </si>
  <si>
    <t>A38.3</t>
  </si>
  <si>
    <t>Base de datos: persistencia de la entidad Paciente</t>
  </si>
  <si>
    <t>Guardar y recuperar registros de pacientes</t>
  </si>
  <si>
    <t>DBA, Backend</t>
  </si>
  <si>
    <t>7.3.4</t>
  </si>
  <si>
    <t>A38.4</t>
  </si>
  <si>
    <t>Validaciones: campos obligatorios y formato del paciente</t>
  </si>
  <si>
    <t>Validar los datos de entrada del paciente</t>
  </si>
  <si>
    <t>7.4.1</t>
  </si>
  <si>
    <t>A39.1</t>
  </si>
  <si>
    <t>Backend: crear nota de enfermería asociada a paciente</t>
  </si>
  <si>
    <t>Registrar nota vinculada a un paciente existente</t>
  </si>
  <si>
    <t>7.4.2</t>
  </si>
  <si>
    <t>A39.2</t>
  </si>
  <si>
    <t>Backend: consultar historial de notas por paciente</t>
  </si>
  <si>
    <t>Implementar endpoint de consulta del historial</t>
  </si>
  <si>
    <t>7.4.3</t>
  </si>
  <si>
    <t>A39.3</t>
  </si>
  <si>
    <t>Frontend: formulario de registro de nota</t>
  </si>
  <si>
    <t>Desarrollar formulario rápido de registro de nota</t>
  </si>
  <si>
    <t>7.4.4</t>
  </si>
  <si>
    <t>A39.4</t>
  </si>
  <si>
    <t>Frontend: vista de consulta/historial de notas</t>
  </si>
  <si>
    <t>Desarrollar vista del historial por paciente</t>
  </si>
  <si>
    <t>7.4.5</t>
  </si>
  <si>
    <t>A39.5</t>
  </si>
  <si>
    <t>Base de datos: persistencia de la entidad NotaEnfermeria</t>
  </si>
  <si>
    <t>Guardar y recuperar notas de enfermería</t>
  </si>
  <si>
    <t>7.4.6</t>
  </si>
  <si>
    <t>A39.6</t>
  </si>
  <si>
    <t>Validaciones: campos obligatorios y asociación a paciente</t>
  </si>
  <si>
    <t>Validar que la nota esté completa y asociada a un paciente válido</t>
  </si>
  <si>
    <t>7.5.1</t>
  </si>
  <si>
    <t>A40.1</t>
  </si>
  <si>
    <t>Backend: registrar medicamento (cantidad, caducidad)</t>
  </si>
  <si>
    <t>Registrar medicamento asociado a paciente</t>
  </si>
  <si>
    <t>7.5.2</t>
  </si>
  <si>
    <t>A40.2</t>
  </si>
  <si>
    <t>Backend: actualizar y consultar stock disponible</t>
  </si>
  <si>
    <t>Implementar consulta y actualización de cantidad/stock</t>
  </si>
  <si>
    <t>7.5.3</t>
  </si>
  <si>
    <t>A40.3</t>
  </si>
  <si>
    <t>Backend: registrar medicamento suministrado por el familiar</t>
  </si>
  <si>
    <t>Registrar dato ingresado por el enfermero, sin acceso directo del familiar</t>
  </si>
  <si>
    <t>7.5.4</t>
  </si>
  <si>
    <t>A40.4</t>
  </si>
  <si>
    <t>Frontend: formulario de registro y consulta de stock</t>
  </si>
  <si>
    <t>Desarrollar formulario de medicamento y consulta de stock</t>
  </si>
  <si>
    <t>7.5.5</t>
  </si>
  <si>
    <t>A40.5</t>
  </si>
  <si>
    <t>Base de datos: persistencia de Medicamento e historial</t>
  </si>
  <si>
    <t>Guardar medicamento y su historial de cantidades</t>
  </si>
  <si>
    <t>7.5.6</t>
  </si>
  <si>
    <t>A40.6</t>
  </si>
  <si>
    <t>Validaciones: cantidad no negativa y fecha válida</t>
  </si>
  <si>
    <t>Validar cantidad y fecha de caducidad</t>
  </si>
  <si>
    <t>7.6.1</t>
  </si>
  <si>
    <t>A41.1</t>
  </si>
  <si>
    <t>Definir umbral de días para alerta "próximo a caducar"</t>
  </si>
  <si>
    <t>Definir cuántos días antes se dispara la alerta</t>
  </si>
  <si>
    <t>PM, Analista</t>
  </si>
  <si>
    <t>7.6.2</t>
  </si>
  <si>
    <t>A41.2</t>
  </si>
  <si>
    <t>Backend: detectar medicamentos próximos a vencer/vencidos</t>
  </si>
  <si>
    <t>Implementar lógica de detección según el umbral definido</t>
  </si>
  <si>
    <t>7.6.3</t>
  </si>
  <si>
    <t>A41.3</t>
  </si>
  <si>
    <t>Backend: generación del aviso/alerta</t>
  </si>
  <si>
    <t>Generar la alerta según el requisito establecido</t>
  </si>
  <si>
    <t>7.6.4</t>
  </si>
  <si>
    <t>A41.4</t>
  </si>
  <si>
    <t>Frontend: visualización de alertas</t>
  </si>
  <si>
    <t>Mostrar alertas al usuario correspondiente</t>
  </si>
  <si>
    <t>7.6.5</t>
  </si>
  <si>
    <t>A41.5</t>
  </si>
  <si>
    <t>Validaciones del umbral de días</t>
  </si>
  <si>
    <t>Validar consistencia del umbral aplicado</t>
  </si>
  <si>
    <t>7.7.1</t>
  </si>
  <si>
    <t>A42.1</t>
  </si>
  <si>
    <t>Backend: capa de acceso a datos común</t>
  </si>
  <si>
    <t>Implementar conexión y manejo de transacciones</t>
  </si>
  <si>
    <t>7.7.2</t>
  </si>
  <si>
    <t>A42.2</t>
  </si>
  <si>
    <t>Backend: manejo centralizado de errores</t>
  </si>
  <si>
    <t>Implementar mensajes de error estandarizados</t>
  </si>
  <si>
    <t>7.7.3</t>
  </si>
  <si>
    <t>A42.3</t>
  </si>
  <si>
    <t>Seguridad: control de acceso a nivel de endpoint</t>
  </si>
  <si>
    <t>Verificar rol por función y endpoint</t>
  </si>
  <si>
    <t>7.7.4</t>
  </si>
  <si>
    <t>A42.4</t>
  </si>
  <si>
    <t>Validaciones generales de entrada de datos</t>
  </si>
  <si>
    <t>Validar datos de entrada en todos los formularios</t>
  </si>
  <si>
    <t>Fase 8 - Integración de módulos</t>
  </si>
  <si>
    <t>8.1</t>
  </si>
  <si>
    <t>A43</t>
  </si>
  <si>
    <t>Fase 8</t>
  </si>
  <si>
    <t>Integración de autenticación y roles</t>
  </si>
  <si>
    <t>Unir frontend y backend del módulo de acceso y roles</t>
  </si>
  <si>
    <t>Todo el equipo, Git</t>
  </si>
  <si>
    <t>8.2</t>
  </si>
  <si>
    <t>A44</t>
  </si>
  <si>
    <t>Integración de gestión de pacientes</t>
  </si>
  <si>
    <t>Unir frontend y backend del módulo de pacientes</t>
  </si>
  <si>
    <t>8.3</t>
  </si>
  <si>
    <t>A45</t>
  </si>
  <si>
    <t>Integración de notas de enfermería</t>
  </si>
  <si>
    <t>Unir frontend y backend del módulo de notas</t>
  </si>
  <si>
    <t>8.4</t>
  </si>
  <si>
    <t>A46</t>
  </si>
  <si>
    <t>Integración de medicamentos y alertas</t>
  </si>
  <si>
    <t>Unir frontend y backend del módulo de medicamentos y alertas</t>
  </si>
  <si>
    <t>8.5</t>
  </si>
  <si>
    <t>A47</t>
  </si>
  <si>
    <t>Integración de todos los módulos con la BD</t>
  </si>
  <si>
    <t>Conectar todos los módulos con la base de datos real</t>
  </si>
  <si>
    <t>8.6</t>
  </si>
  <si>
    <t>A48</t>
  </si>
  <si>
    <t>Prueba de flujo completo</t>
  </si>
  <si>
    <t>Validar flujo login → paciente → nota → medicamento → alerta</t>
  </si>
  <si>
    <t>QA</t>
  </si>
  <si>
    <t>8.7</t>
  </si>
  <si>
    <t>A49</t>
  </si>
  <si>
    <t>Corrección de errores de integración</t>
  </si>
  <si>
    <t>Resolver defectos encontrados durante el flujo completo</t>
  </si>
  <si>
    <t>Fase 9 - Pruebas y control de calidad</t>
  </si>
  <si>
    <t>9.1</t>
  </si>
  <si>
    <t>A50</t>
  </si>
  <si>
    <t>Fase 9</t>
  </si>
  <si>
    <t>Plan y diseño de casos de prueba</t>
  </si>
  <si>
    <t>Definir alcance, tipos de prueba, criterios de aceptación y casos por funcionalidad</t>
  </si>
  <si>
    <t>Costo de equipos trasladado desde la línea agregada 'Pruebas funcionales y corrección' del presupuesto original.</t>
  </si>
  <si>
    <t>9.2.1</t>
  </si>
  <si>
    <t>A51.1</t>
  </si>
  <si>
    <t>Pruebas unitarias de backend</t>
  </si>
  <si>
    <t>Validar funciones, validaciones y cálculos internos del backend</t>
  </si>
  <si>
    <t>9.2.2</t>
  </si>
  <si>
    <t>A51.2</t>
  </si>
  <si>
    <t>Pruebas de integración frontend-backend-BD</t>
  </si>
  <si>
    <t>Verificar la comunicación entre las diferentes capas</t>
  </si>
  <si>
    <t>9.2.3</t>
  </si>
  <si>
    <t>A51.3</t>
  </si>
  <si>
    <t>Pruebas funcionales de flujos principales</t>
  </si>
  <si>
    <t>Validar registro de notas y gestión de medicamentos</t>
  </si>
  <si>
    <t>9.2.4</t>
  </si>
  <si>
    <t>A51.4</t>
  </si>
  <si>
    <t>Pruebas de roles y permisos</t>
  </si>
  <si>
    <t>Verificar que los accesos indebidos sean bloqueados</t>
  </si>
  <si>
    <t>9.2.5</t>
  </si>
  <si>
    <t>A51.5</t>
  </si>
  <si>
    <t>Pruebas de gestión de pacientes</t>
  </si>
  <si>
    <t>Validar alta, edición y consulta de pacientes</t>
  </si>
  <si>
    <t>9.2.6</t>
  </si>
  <si>
    <t>A51.6</t>
  </si>
  <si>
    <t>Pruebas de notas de enfermería</t>
  </si>
  <si>
    <t>Validar creación y consulta de notas</t>
  </si>
  <si>
    <t>9.2.7</t>
  </si>
  <si>
    <t>A51.7</t>
  </si>
  <si>
    <t>Pruebas de medicamentos y alertas de caducidad</t>
  </si>
  <si>
    <t>Validar registro, stock y alertas según umbral</t>
  </si>
  <si>
    <t>9.2.8</t>
  </si>
  <si>
    <t>A51.8</t>
  </si>
  <si>
    <t>Pruebas de base de datos</t>
  </si>
  <si>
    <t>Verificar integridad referencial y restricciones</t>
  </si>
  <si>
    <t>QA, DBA</t>
  </si>
  <si>
    <t>9.2.9</t>
  </si>
  <si>
    <t>A51.9</t>
  </si>
  <si>
    <t>Pruebas de interfaz</t>
  </si>
  <si>
    <t>Validar usabilidad básica y visibilidad de mensajes de error</t>
  </si>
  <si>
    <t>9.3</t>
  </si>
  <si>
    <t>A52</t>
  </si>
  <si>
    <t>Gestión de defectos (registro, corrección, repruebas)</t>
  </si>
  <si>
    <t>Registrar, corregir y volver a probar los defectos encontrados</t>
  </si>
  <si>
    <t>QA, Backend, Frontend</t>
  </si>
  <si>
    <t>9.4</t>
  </si>
  <si>
    <t>A53</t>
  </si>
  <si>
    <t>Validación final contra requisitos de alto nivel</t>
  </si>
  <si>
    <t>Confirmar el cumplimiento de los requisitos establecidos en el Acta</t>
  </si>
  <si>
    <t>PM, QA</t>
  </si>
  <si>
    <t>Fase 10 - Despliegue y preparación de demo</t>
  </si>
  <si>
    <t>10.1</t>
  </si>
  <si>
    <t>A54</t>
  </si>
  <si>
    <t>Fase 10</t>
  </si>
  <si>
    <t>Preparación y despliegue del prototipo</t>
  </si>
  <si>
    <t>Ambiente, datos de prueba no clínicos, despliegue</t>
  </si>
  <si>
    <t>Costo de dominio/hosting trasladado desde la línea agregada 'Desarrollo Backend' del presupuesto original; se reubica aquí porque es la actividad donde se contrata el hosting/dominio para el despliegue.</t>
  </si>
  <si>
    <t>10.2</t>
  </si>
  <si>
    <t>A55</t>
  </si>
  <si>
    <t>Verificación y preparación de la demo</t>
  </si>
  <si>
    <t>Verificar funcionamiento desplegado, guion de demostración</t>
  </si>
  <si>
    <t>Fase 11 - Seguimiento y control del proyecto</t>
  </si>
  <si>
    <t>11.1</t>
  </si>
  <si>
    <t>A56</t>
  </si>
  <si>
    <t>Fase 11</t>
  </si>
  <si>
    <t>Realizar seguimiento del avance del proyecto</t>
  </si>
  <si>
    <t>Se valida el cronograma y las fechas de entrega</t>
  </si>
  <si>
    <t>Word, Excel, Teams, WhatsApp</t>
  </si>
  <si>
    <t>11.2</t>
  </si>
  <si>
    <t>A57</t>
  </si>
  <si>
    <t>Control de Cambios y ajustes de alcance</t>
  </si>
  <si>
    <t>Se ajustan fechas y alcance del proyecto</t>
  </si>
  <si>
    <t>11.3</t>
  </si>
  <si>
    <t>A58</t>
  </si>
  <si>
    <t>Calidad de entrega</t>
  </si>
  <si>
    <t>Validación de código y realización de pruebas</t>
  </si>
  <si>
    <t>GitHub, VS</t>
  </si>
  <si>
    <t>11.4</t>
  </si>
  <si>
    <t>A59</t>
  </si>
  <si>
    <t>Generar reportes del proceso</t>
  </si>
  <si>
    <t>Con base en el proyecto se generan los reportes de documentación</t>
  </si>
  <si>
    <t>Word, Excel, GitHub, VS</t>
  </si>
  <si>
    <t>11.5</t>
  </si>
  <si>
    <t>A60</t>
  </si>
  <si>
    <t>Validación de resultados con el cliente</t>
  </si>
  <si>
    <t>Se muestra el proyecto para el análisis del cliente</t>
  </si>
  <si>
    <t>Teams, VS</t>
  </si>
  <si>
    <t>Fase 12 - Documentación y cierre del proyecto</t>
  </si>
  <si>
    <t>12.1</t>
  </si>
  <si>
    <t>A61</t>
  </si>
  <si>
    <t>Fase 12</t>
  </si>
  <si>
    <t>Documentación de lecciones aprendidas</t>
  </si>
  <si>
    <t>Documentar las lecciones aprendidas durante el desarrollo</t>
  </si>
  <si>
    <t>12.2.1</t>
  </si>
  <si>
    <t>A62.1</t>
  </si>
  <si>
    <t>Documentación de requisitos</t>
  </si>
  <si>
    <t>Consolidar fichas de requerimientos y matriz de trazabilidad</t>
  </si>
  <si>
    <t>12.2.2</t>
  </si>
  <si>
    <t>A62.2</t>
  </si>
  <si>
    <t>Documentación UML</t>
  </si>
  <si>
    <t>Consolidar casos de uso, clases, actividades, secuencia, estados y paquetes</t>
  </si>
  <si>
    <t>12.2.3</t>
  </si>
  <si>
    <t>A62.3</t>
  </si>
  <si>
    <t>Documentación de arquitectura</t>
  </si>
  <si>
    <t>Elaborar documento de arquitectura del sistema</t>
  </si>
  <si>
    <t>12.2.4</t>
  </si>
  <si>
    <t>A62.4</t>
  </si>
  <si>
    <t>Documentación de base de datos</t>
  </si>
  <si>
    <t>Consolidar modelo ER, modelo físico y diccionario de datos</t>
  </si>
  <si>
    <t>12.2.5</t>
  </si>
  <si>
    <t>A62.5</t>
  </si>
  <si>
    <t>Documentación técnica general</t>
  </si>
  <si>
    <t>Consolidar la documentación técnica del sistema</t>
  </si>
  <si>
    <t>12.2.6</t>
  </si>
  <si>
    <t>A62.6</t>
  </si>
  <si>
    <t>Manual de usuario por rol</t>
  </si>
  <si>
    <t>Elaborar manual para enfermero y administrador</t>
  </si>
  <si>
    <t>Costo de impresión/insumos del manual de usuario, trasladado desde la línea agregada 'Documentación' del presupuesto original.</t>
  </si>
  <si>
    <t>12.2.7</t>
  </si>
  <si>
    <t>A62.7</t>
  </si>
  <si>
    <t>Evidencias de pruebas</t>
  </si>
  <si>
    <t>Consolidar casos ejecutados y defectos corregidos</t>
  </si>
  <si>
    <t>12.3</t>
  </si>
  <si>
    <t>A63</t>
  </si>
  <si>
    <t>Elaboración del informe final</t>
  </si>
  <si>
    <t>Elaborar el informe final del proyecto</t>
  </si>
  <si>
    <t>12.4</t>
  </si>
  <si>
    <t>A64</t>
  </si>
  <si>
    <t>Cierre del proyecto</t>
  </si>
  <si>
    <t>Realizar el cierre final del proyecto</t>
  </si>
  <si>
    <t>SUBTOTAL FASE 1</t>
  </si>
  <si>
    <t>SUBTOTAL FASE 2</t>
  </si>
  <si>
    <t>SUBTOTAL FASE 3</t>
  </si>
  <si>
    <t>SUBTOTAL FASE 4</t>
  </si>
  <si>
    <t>SUBTOTAL FASE 5</t>
  </si>
  <si>
    <t>SUBTOTAL FASE 6</t>
  </si>
  <si>
    <t>SUBTOTAL FASE 7</t>
  </si>
  <si>
    <t>SUBTOTAL FASE 8</t>
  </si>
  <si>
    <t>SUBTOTAL FASE 9</t>
  </si>
  <si>
    <t>SUBTOTAL FASE 10</t>
  </si>
  <si>
    <t>SUBTOTAL FASE 11</t>
  </si>
  <si>
    <t>SUBTOTAL FASE 12</t>
  </si>
  <si>
    <t>TOTAL GENERAL DEL PROYECTO</t>
  </si>
  <si>
    <t>SI / NO</t>
  </si>
  <si>
    <t>PRIORIDAD</t>
  </si>
  <si>
    <t>ESTADO</t>
  </si>
  <si>
    <t>Si</t>
  </si>
  <si>
    <t>Baja</t>
  </si>
  <si>
    <t>No</t>
  </si>
  <si>
    <t>Media</t>
  </si>
  <si>
    <t>En Progreso</t>
  </si>
  <si>
    <t>Alta</t>
  </si>
  <si>
    <t>Completo</t>
  </si>
  <si>
    <t>Requiere Revisión</t>
  </si>
  <si>
    <t>Aprobado</t>
  </si>
  <si>
    <t>Atrasado</t>
  </si>
  <si>
    <t>En Espera</t>
  </si>
  <si>
    <t>Control de Cambios — Presupuesto de Proyecto NurseNote</t>
  </si>
  <si>
    <t>Elemento</t>
  </si>
  <si>
    <t>Cambio realizado</t>
  </si>
  <si>
    <t>Motivo</t>
  </si>
  <si>
    <t>Estructura general</t>
  </si>
  <si>
    <t>Se reconstruyó el presupuesto pasando de 10 líneas agregadas a 104 líneas, una por cada actividad de la lista de actividades actualizada (prueba1), agrupadas en 12 fases.</t>
  </si>
  <si>
    <t>Alineación total con la EDT y la lista de actividades actualizadas, según la prioridad de información establecida.</t>
  </si>
  <si>
    <t>Trazabilidad</t>
  </si>
  <si>
    <t>Se agregaron las columnas ID EDT, ID Actividad, Fase, Responsable(s) y Recursos/Herramientas.</t>
  </si>
  <si>
    <t>Permitir identificar cada línea presupuestada con una actividad concreta de la EDT/lista de actividades.</t>
  </si>
  <si>
    <t>Actividades agregadas obsoletas</t>
  </si>
  <si>
    <t>Se eliminaron las 10 actividades agregadas del presupuesto original ('Levantamiento de requisitos', 'Diseño de la arquitectura y la base de datos', 'Diseño UX/UI', 'Desarrollo Backend', 'Desarrollo Frontend', 'Implementar módulo notas', 'Implementar módulo medicamentos', 'Pruebas funcionales y corrección', 'Documentación', 'Última entrega').</t>
  </si>
  <si>
    <t>Estas líneas no correspondían 1:1 con ninguna actividad de la lista actualizada; se reemplazaron por el detalle completo de 104 actividades.</t>
  </si>
  <si>
    <t>Se estimaron horas por actividad (total 477 h vs. 334 h del presupuesto original), ya que el archivo original no traía horas a nivel de actividad individual.</t>
  </si>
  <si>
    <t>El presupuesto original no incluía suficiente detalle para 104 actividades; se generó una estimación razonable por tipo de actividad, documentada como propuesta en la columna 'Observación / Estimación' y en el informe final.</t>
  </si>
  <si>
    <t>Valor hora</t>
  </si>
  <si>
    <t>Se mantuvo el valor hora único de $35.000 usado en el presupuesto original para todos los recursos.</t>
  </si>
  <si>
    <t>El archivo original no distingue tarifas por rol (Analista, Backend, QA, etc.); no se inventó una tarifa diferenciada sin soporte en los documentos fuente.</t>
  </si>
  <si>
    <t>Materiales — Hosting/Dominio ($100.000)</t>
  </si>
  <si>
    <t>Reubicado desde la línea agregada 'Desarrollo Backend' hacia la actividad A54 'Preparación y despliegue del prototipo'.</t>
  </si>
  <si>
    <t>Es la actividad donde realmente se contrata el dominio/hosting; mejora la trazabilidad sin inventar el monto.</t>
  </si>
  <si>
    <t>Materiales — Impresión manual ($50.000)</t>
  </si>
  <si>
    <t>Reubicado desde la línea agregada 'Documentación' hacia la actividad A62.6 'Manual de usuario por rol'.</t>
  </si>
  <si>
    <t>Coincide con la actividad concreta de elaboración del manual.</t>
  </si>
  <si>
    <t>Equipos ($20.000+$40.000+$40.000+$20.000)</t>
  </si>
  <si>
    <t>Reubicados desde las líneas agregadas de diseño, backend, frontend y pruebas hacia A28 (Diseño de arquitectura), A32 (Estructura base del proyecto), A30 (Diseño UX/UI) y A50 (Plan y diseño de casos de prueba) respectivamente.</t>
  </si>
  <si>
    <t>Mismos montos del presupuesto original, asignados a la actividad concreta donde se incurre el costo.</t>
  </si>
  <si>
    <t>Misceláneos</t>
  </si>
  <si>
    <t>Se calculan automáticamente como 10% de la mano de obra de cada actividad, replicando la proporción usada en el presupuesto original (fila por fila).</t>
  </si>
  <si>
    <t>El presupuesto original no documentaba una fórmula explícita, pero la proporción ~10% era consistente en casi todas sus líneas.</t>
  </si>
  <si>
    <t>Fechas</t>
  </si>
  <si>
    <t>Fecha Inicio/Fin Planificada de cada actividad se alinearon con el cronograma ajustado (Cronograma_NurseNote_Ajustado.xlsx).</t>
  </si>
  <si>
    <t>Cumplir el requisito de coherencia cronograma-presupuesto (Parte 3).</t>
  </si>
  <si>
    <t>Fases</t>
  </si>
  <si>
    <t>Se usaron las 12 fases de la lista de actividades (columna EDT de prueba1: 1.x a 12.x) en lugar de las 6 fases del diagrama de EDT.</t>
  </si>
  <si>
    <t>El diagrama de EDT adjunto (6 fases, 37 elementos) no tiene correspondencia 1 a 1 con la codificación EDT de 104 actividades de la lista de actividades (12 fases). Se documenta como inconsistencia en el informe final; se priorizó la lista de actividades por ser la fuente más granular y ya validada.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</si>
</sst>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_);&quot;($&quot;#,##0\)"/>
  </numFmts>
  <fonts count="8">
    <font>
      <sz val="11"/>
      <color theme="1"/>
      <name val="Calibri"/>
      <family val="2"/>
      <charset val="1"/>
    </font>
    <font>
      <b/>
      <sz val="14"/>
      <color rgb="FF595959"/>
      <name val="Cambria"/>
      <charset val="1"/>
    </font>
    <font>
      <i/>
      <sz val="9"/>
      <color rgb="FF595959"/>
      <name val="Cambria"/>
      <charset val="1"/>
    </font>
    <font>
      <b/>
      <sz val="10"/>
      <color rgb="FF333F4F"/>
      <name val="Cambria"/>
      <charset val="1"/>
    </font>
    <font>
      <b/>
      <sz val="10"/>
      <color rgb="FFFFFF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3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203864"/>
        <bgColor rgb="FF333F4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5" fillId="4" borderId="0" xfId="0" applyFont="1" applyFill="1"/>
    <xf numFmtId="165" fontId="5" fillId="4" borderId="0" xfId="0" applyNumberFormat="1" applyFont="1" applyFill="1"/>
    <xf numFmtId="0" fontId="6" fillId="5" borderId="0" xfId="0" applyFont="1" applyFill="1"/>
    <xf numFmtId="165" fontId="6" fillId="5" borderId="0" xfId="0" applyNumberFormat="1" applyFont="1" applyFill="1"/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1" fillId="0" borderId="0" xfId="0" applyFont="1" applyAlignment="1"/>
    <xf numFmtId="0" fontId="2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"/>
  <sheetViews>
    <sheetView tabSelected="1" zoomScaleNormal="100" workbookViewId="0">
      <pane xSplit="4" ySplit="4" topLeftCell="E5" activePane="bottomRight" state="frozen"/>
      <selection pane="bottomRight" activeCell="E4" sqref="E4"/>
      <selection pane="bottomLeft" activeCell="A5" sqref="A5"/>
      <selection pane="topRight" activeCell="E1" sqref="E1"/>
    </sheetView>
  </sheetViews>
  <sheetFormatPr defaultColWidth="8.7109375" defaultRowHeight="15"/>
  <cols>
    <col min="1" max="1" width="8" customWidth="1"/>
    <col min="2" max="3" width="10" customWidth="1"/>
    <col min="4" max="4" width="32" customWidth="1"/>
    <col min="5" max="5" width="38" customWidth="1"/>
    <col min="6" max="6" width="16" customWidth="1"/>
    <col min="7" max="7" width="22" customWidth="1"/>
    <col min="8" max="10" width="13" customWidth="1"/>
    <col min="11" max="11" width="7" customWidth="1"/>
    <col min="12" max="12" width="10" customWidth="1"/>
    <col min="13" max="13" width="14" customWidth="1"/>
    <col min="14" max="15" width="11" customWidth="1"/>
    <col min="16" max="17" width="14" customWidth="1"/>
    <col min="18" max="18" width="40" customWidth="1"/>
  </cols>
  <sheetData>
    <row r="1" spans="1:18" ht="17.45">
      <c r="A1" s="13" t="s">
        <v>0</v>
      </c>
      <c r="B1" s="13"/>
      <c r="C1" s="13"/>
      <c r="D1" s="13"/>
    </row>
    <row r="2" spans="1:18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4" spans="1:18" ht="23.8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</row>
    <row r="5" spans="1:18">
      <c r="A5" s="12" t="s">
        <v>19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3" t="s">
        <v>27</v>
      </c>
      <c r="I6" s="4">
        <v>46251</v>
      </c>
      <c r="J6" s="4">
        <v>46251</v>
      </c>
      <c r="K6" s="3">
        <v>4</v>
      </c>
      <c r="L6" s="5">
        <v>35000</v>
      </c>
      <c r="M6" s="6">
        <f>K6*L6</f>
        <v>140000</v>
      </c>
      <c r="N6" s="5">
        <v>0</v>
      </c>
      <c r="O6" s="5">
        <v>0</v>
      </c>
      <c r="P6" s="6">
        <f>ROUND(M6*0.1,0)</f>
        <v>14000</v>
      </c>
      <c r="Q6" s="6">
        <f>M6+N6+O6+P6</f>
        <v>154000</v>
      </c>
      <c r="R6" s="2"/>
    </row>
    <row r="7" spans="1:18" ht="28.35">
      <c r="A7" s="2" t="s">
        <v>28</v>
      </c>
      <c r="B7" s="2" t="s">
        <v>29</v>
      </c>
      <c r="C7" s="2" t="s">
        <v>22</v>
      </c>
      <c r="D7" s="2" t="s">
        <v>30</v>
      </c>
      <c r="E7" s="2" t="s">
        <v>31</v>
      </c>
      <c r="F7" s="2" t="s">
        <v>25</v>
      </c>
      <c r="G7" s="2" t="s">
        <v>26</v>
      </c>
      <c r="H7" s="3" t="s">
        <v>27</v>
      </c>
      <c r="I7" s="4">
        <v>46252</v>
      </c>
      <c r="J7" s="4">
        <v>46252</v>
      </c>
      <c r="K7" s="3">
        <v>3</v>
      </c>
      <c r="L7" s="5">
        <v>35000</v>
      </c>
      <c r="M7" s="6">
        <f>K7*L7</f>
        <v>105000</v>
      </c>
      <c r="N7" s="5">
        <v>0</v>
      </c>
      <c r="O7" s="5">
        <v>0</v>
      </c>
      <c r="P7" s="6">
        <f>ROUND(M7*0.1,0)</f>
        <v>10500</v>
      </c>
      <c r="Q7" s="6">
        <f>M7+N7+O7+P7</f>
        <v>115500</v>
      </c>
      <c r="R7" s="2"/>
    </row>
    <row r="8" spans="1:18" ht="28.35">
      <c r="A8" s="2" t="s">
        <v>32</v>
      </c>
      <c r="B8" s="2" t="s">
        <v>33</v>
      </c>
      <c r="C8" s="2" t="s">
        <v>22</v>
      </c>
      <c r="D8" s="2" t="s">
        <v>34</v>
      </c>
      <c r="E8" s="2" t="s">
        <v>35</v>
      </c>
      <c r="F8" s="2" t="s">
        <v>25</v>
      </c>
      <c r="G8" s="2" t="s">
        <v>26</v>
      </c>
      <c r="H8" s="3" t="s">
        <v>27</v>
      </c>
      <c r="I8" s="4">
        <v>46253</v>
      </c>
      <c r="J8" s="4">
        <v>46253</v>
      </c>
      <c r="K8" s="3">
        <v>5</v>
      </c>
      <c r="L8" s="5">
        <v>35000</v>
      </c>
      <c r="M8" s="6">
        <f>K8*L8</f>
        <v>175000</v>
      </c>
      <c r="N8" s="5">
        <v>0</v>
      </c>
      <c r="O8" s="5">
        <v>0</v>
      </c>
      <c r="P8" s="6">
        <f>ROUND(M8*0.1,0)</f>
        <v>17500</v>
      </c>
      <c r="Q8" s="6">
        <f>M8+N8+O8+P8</f>
        <v>192500</v>
      </c>
      <c r="R8" s="2"/>
    </row>
    <row r="9" spans="1:18">
      <c r="A9" s="12" t="s">
        <v>36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ht="28.35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25</v>
      </c>
      <c r="G10" s="2" t="s">
        <v>26</v>
      </c>
      <c r="H10" s="3" t="s">
        <v>27</v>
      </c>
      <c r="I10" s="4">
        <v>46254</v>
      </c>
      <c r="J10" s="4">
        <v>46254</v>
      </c>
      <c r="K10" s="3">
        <v>4</v>
      </c>
      <c r="L10" s="5">
        <v>35000</v>
      </c>
      <c r="M10" s="6">
        <f>K10*L10</f>
        <v>140000</v>
      </c>
      <c r="N10" s="5">
        <v>0</v>
      </c>
      <c r="O10" s="5">
        <v>0</v>
      </c>
      <c r="P10" s="6">
        <f>ROUND(M10*0.1,0)</f>
        <v>14000</v>
      </c>
      <c r="Q10" s="6">
        <f>M10+N10+O10+P10</f>
        <v>154000</v>
      </c>
      <c r="R10" s="2"/>
    </row>
    <row r="11" spans="1:18">
      <c r="A11" s="2" t="s">
        <v>42</v>
      </c>
      <c r="B11" s="2" t="s">
        <v>43</v>
      </c>
      <c r="C11" s="2" t="s">
        <v>39</v>
      </c>
      <c r="D11" s="2" t="s">
        <v>44</v>
      </c>
      <c r="E11" s="2" t="s">
        <v>45</v>
      </c>
      <c r="F11" s="2" t="s">
        <v>25</v>
      </c>
      <c r="G11" s="2" t="s">
        <v>26</v>
      </c>
      <c r="H11" s="3" t="s">
        <v>27</v>
      </c>
      <c r="I11" s="4">
        <v>46254</v>
      </c>
      <c r="J11" s="4">
        <v>46254</v>
      </c>
      <c r="K11" s="3">
        <v>6</v>
      </c>
      <c r="L11" s="5">
        <v>35000</v>
      </c>
      <c r="M11" s="6">
        <f>K11*L11</f>
        <v>210000</v>
      </c>
      <c r="N11" s="5">
        <v>0</v>
      </c>
      <c r="O11" s="5">
        <v>0</v>
      </c>
      <c r="P11" s="6">
        <f>ROUND(M11*0.1,0)</f>
        <v>21000</v>
      </c>
      <c r="Q11" s="6">
        <f>M11+N11+O11+P11</f>
        <v>231000</v>
      </c>
      <c r="R11" s="2"/>
    </row>
    <row r="12" spans="1:18" ht="28.35">
      <c r="A12" s="2" t="s">
        <v>46</v>
      </c>
      <c r="B12" s="2" t="s">
        <v>47</v>
      </c>
      <c r="C12" s="2" t="s">
        <v>39</v>
      </c>
      <c r="D12" s="2" t="s">
        <v>48</v>
      </c>
      <c r="E12" s="2" t="s">
        <v>49</v>
      </c>
      <c r="F12" s="2" t="s">
        <v>25</v>
      </c>
      <c r="G12" s="2" t="s">
        <v>26</v>
      </c>
      <c r="H12" s="3" t="s">
        <v>27</v>
      </c>
      <c r="I12" s="4">
        <v>46255</v>
      </c>
      <c r="J12" s="4">
        <v>46255</v>
      </c>
      <c r="K12" s="3">
        <v>3</v>
      </c>
      <c r="L12" s="5">
        <v>35000</v>
      </c>
      <c r="M12" s="6">
        <f>K12*L12</f>
        <v>105000</v>
      </c>
      <c r="N12" s="5">
        <v>0</v>
      </c>
      <c r="O12" s="5">
        <v>0</v>
      </c>
      <c r="P12" s="6">
        <f>ROUND(M12*0.1,0)</f>
        <v>10500</v>
      </c>
      <c r="Q12" s="6">
        <f>M12+N12+O12+P12</f>
        <v>115500</v>
      </c>
      <c r="R12" s="2"/>
    </row>
    <row r="13" spans="1:18" ht="28.35">
      <c r="A13" s="2" t="s">
        <v>50</v>
      </c>
      <c r="B13" s="2" t="s">
        <v>51</v>
      </c>
      <c r="C13" s="2" t="s">
        <v>39</v>
      </c>
      <c r="D13" s="2" t="s">
        <v>52</v>
      </c>
      <c r="E13" s="2" t="s">
        <v>53</v>
      </c>
      <c r="F13" s="2" t="s">
        <v>25</v>
      </c>
      <c r="G13" s="2" t="s">
        <v>26</v>
      </c>
      <c r="H13" s="3" t="s">
        <v>27</v>
      </c>
      <c r="I13" s="4">
        <v>46258</v>
      </c>
      <c r="J13" s="4">
        <v>46258</v>
      </c>
      <c r="K13" s="3">
        <v>5</v>
      </c>
      <c r="L13" s="5">
        <v>35000</v>
      </c>
      <c r="M13" s="6">
        <f>K13*L13</f>
        <v>175000</v>
      </c>
      <c r="N13" s="5">
        <v>0</v>
      </c>
      <c r="O13" s="5">
        <v>0</v>
      </c>
      <c r="P13" s="6">
        <f>ROUND(M13*0.1,0)</f>
        <v>17500</v>
      </c>
      <c r="Q13" s="6">
        <f>M13+N13+O13+P13</f>
        <v>192500</v>
      </c>
      <c r="R13" s="2"/>
    </row>
    <row r="14" spans="1:18" ht="28.35">
      <c r="A14" s="2" t="s">
        <v>54</v>
      </c>
      <c r="B14" s="2" t="s">
        <v>55</v>
      </c>
      <c r="C14" s="2" t="s">
        <v>39</v>
      </c>
      <c r="D14" s="2" t="s">
        <v>56</v>
      </c>
      <c r="E14" s="2" t="s">
        <v>57</v>
      </c>
      <c r="F14" s="2" t="s">
        <v>25</v>
      </c>
      <c r="G14" s="2" t="s">
        <v>26</v>
      </c>
      <c r="H14" s="3" t="s">
        <v>27</v>
      </c>
      <c r="I14" s="4">
        <v>46259</v>
      </c>
      <c r="J14" s="4">
        <v>46259</v>
      </c>
      <c r="K14" s="3">
        <v>3</v>
      </c>
      <c r="L14" s="5">
        <v>35000</v>
      </c>
      <c r="M14" s="6">
        <f>K14*L14</f>
        <v>105000</v>
      </c>
      <c r="N14" s="5">
        <v>0</v>
      </c>
      <c r="O14" s="5">
        <v>0</v>
      </c>
      <c r="P14" s="6">
        <f>ROUND(M14*0.1,0)</f>
        <v>10500</v>
      </c>
      <c r="Q14" s="6">
        <f>M14+N14+O14+P14</f>
        <v>115500</v>
      </c>
      <c r="R14" s="2"/>
    </row>
    <row r="15" spans="1:18" ht="28.35">
      <c r="A15" s="2" t="s">
        <v>58</v>
      </c>
      <c r="B15" s="2" t="s">
        <v>59</v>
      </c>
      <c r="C15" s="2" t="s">
        <v>39</v>
      </c>
      <c r="D15" s="2" t="s">
        <v>60</v>
      </c>
      <c r="E15" s="2" t="s">
        <v>61</v>
      </c>
      <c r="F15" s="2" t="s">
        <v>25</v>
      </c>
      <c r="G15" s="2" t="s">
        <v>62</v>
      </c>
      <c r="H15" s="3" t="s">
        <v>27</v>
      </c>
      <c r="I15" s="4">
        <v>46259</v>
      </c>
      <c r="J15" s="4">
        <v>46259</v>
      </c>
      <c r="K15" s="3">
        <v>4</v>
      </c>
      <c r="L15" s="5">
        <v>35000</v>
      </c>
      <c r="M15" s="6">
        <f>K15*L15</f>
        <v>140000</v>
      </c>
      <c r="N15" s="5">
        <v>0</v>
      </c>
      <c r="O15" s="5">
        <v>0</v>
      </c>
      <c r="P15" s="6">
        <f>ROUND(M15*0.1,0)</f>
        <v>14000</v>
      </c>
      <c r="Q15" s="6">
        <f>M15+N15+O15+P15</f>
        <v>154000</v>
      </c>
      <c r="R15" s="2"/>
    </row>
    <row r="16" spans="1:18" ht="28.35">
      <c r="A16" s="2" t="s">
        <v>63</v>
      </c>
      <c r="B16" s="2" t="s">
        <v>64</v>
      </c>
      <c r="C16" s="2" t="s">
        <v>39</v>
      </c>
      <c r="D16" s="2" t="s">
        <v>65</v>
      </c>
      <c r="E16" s="2" t="s">
        <v>66</v>
      </c>
      <c r="F16" s="2" t="s">
        <v>25</v>
      </c>
      <c r="G16" s="2" t="s">
        <v>62</v>
      </c>
      <c r="H16" s="3" t="s">
        <v>27</v>
      </c>
      <c r="I16" s="4">
        <v>46260</v>
      </c>
      <c r="J16" s="4">
        <v>46260</v>
      </c>
      <c r="K16" s="3">
        <v>4</v>
      </c>
      <c r="L16" s="5">
        <v>35000</v>
      </c>
      <c r="M16" s="6">
        <f>K16*L16</f>
        <v>140000</v>
      </c>
      <c r="N16" s="5">
        <v>0</v>
      </c>
      <c r="O16" s="5">
        <v>0</v>
      </c>
      <c r="P16" s="6">
        <f>ROUND(M16*0.1,0)</f>
        <v>14000</v>
      </c>
      <c r="Q16" s="6">
        <f>M16+N16+O16+P16</f>
        <v>154000</v>
      </c>
      <c r="R16" s="2"/>
    </row>
    <row r="17" spans="1:18" ht="28.35">
      <c r="A17" s="2" t="s">
        <v>67</v>
      </c>
      <c r="B17" s="2" t="s">
        <v>68</v>
      </c>
      <c r="C17" s="2" t="s">
        <v>39</v>
      </c>
      <c r="D17" s="2" t="s">
        <v>69</v>
      </c>
      <c r="E17" s="2" t="s">
        <v>70</v>
      </c>
      <c r="F17" s="2" t="s">
        <v>25</v>
      </c>
      <c r="G17" s="2" t="s">
        <v>71</v>
      </c>
      <c r="H17" s="3" t="s">
        <v>27</v>
      </c>
      <c r="I17" s="4">
        <v>46258</v>
      </c>
      <c r="J17" s="4">
        <v>46258</v>
      </c>
      <c r="K17" s="3">
        <v>5</v>
      </c>
      <c r="L17" s="5">
        <v>35000</v>
      </c>
      <c r="M17" s="6">
        <f>K17*L17</f>
        <v>175000</v>
      </c>
      <c r="N17" s="5">
        <v>0</v>
      </c>
      <c r="O17" s="5">
        <v>0</v>
      </c>
      <c r="P17" s="6">
        <f>ROUND(M17*0.1,0)</f>
        <v>17500</v>
      </c>
      <c r="Q17" s="6">
        <f>M17+N17+O17+P17</f>
        <v>192500</v>
      </c>
      <c r="R17" s="2"/>
    </row>
    <row r="18" spans="1:18" ht="28.35">
      <c r="A18" s="2" t="s">
        <v>72</v>
      </c>
      <c r="B18" s="2" t="s">
        <v>73</v>
      </c>
      <c r="C18" s="2" t="s">
        <v>39</v>
      </c>
      <c r="D18" s="2" t="s">
        <v>74</v>
      </c>
      <c r="E18" s="2" t="s">
        <v>75</v>
      </c>
      <c r="F18" s="2" t="s">
        <v>25</v>
      </c>
      <c r="G18" s="2" t="s">
        <v>71</v>
      </c>
      <c r="H18" s="3" t="s">
        <v>27</v>
      </c>
      <c r="I18" s="4">
        <v>46259</v>
      </c>
      <c r="J18" s="4">
        <v>46259</v>
      </c>
      <c r="K18" s="3">
        <v>4</v>
      </c>
      <c r="L18" s="5">
        <v>35000</v>
      </c>
      <c r="M18" s="6">
        <f>K18*L18</f>
        <v>140000</v>
      </c>
      <c r="N18" s="5">
        <v>0</v>
      </c>
      <c r="O18" s="5">
        <v>0</v>
      </c>
      <c r="P18" s="6">
        <f>ROUND(M18*0.1,0)</f>
        <v>14000</v>
      </c>
      <c r="Q18" s="6">
        <f>M18+N18+O18+P18</f>
        <v>154000</v>
      </c>
      <c r="R18" s="2"/>
    </row>
    <row r="19" spans="1:18" ht="28.35">
      <c r="A19" s="2" t="s">
        <v>76</v>
      </c>
      <c r="B19" s="2" t="s">
        <v>77</v>
      </c>
      <c r="C19" s="2" t="s">
        <v>39</v>
      </c>
      <c r="D19" s="2" t="s">
        <v>78</v>
      </c>
      <c r="E19" s="2" t="s">
        <v>79</v>
      </c>
      <c r="F19" s="2" t="s">
        <v>25</v>
      </c>
      <c r="G19" s="2" t="s">
        <v>80</v>
      </c>
      <c r="H19" s="3" t="s">
        <v>27</v>
      </c>
      <c r="I19" s="4">
        <v>46251</v>
      </c>
      <c r="J19" s="4">
        <v>46251</v>
      </c>
      <c r="K19" s="3">
        <v>3</v>
      </c>
      <c r="L19" s="5">
        <v>35000</v>
      </c>
      <c r="M19" s="6">
        <f>K19*L19</f>
        <v>105000</v>
      </c>
      <c r="N19" s="5">
        <v>0</v>
      </c>
      <c r="O19" s="5">
        <v>0</v>
      </c>
      <c r="P19" s="6">
        <f>ROUND(M19*0.1,0)</f>
        <v>10500</v>
      </c>
      <c r="Q19" s="6">
        <f>M19+N19+O19+P19</f>
        <v>115500</v>
      </c>
      <c r="R19" s="2"/>
    </row>
    <row r="20" spans="1:18">
      <c r="A20" s="12" t="s">
        <v>81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ht="41.85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86</v>
      </c>
      <c r="F21" s="2" t="s">
        <v>87</v>
      </c>
      <c r="G21" s="2" t="s">
        <v>88</v>
      </c>
      <c r="H21" s="3" t="s">
        <v>27</v>
      </c>
      <c r="I21" s="4">
        <v>46260</v>
      </c>
      <c r="J21" s="4">
        <v>46260</v>
      </c>
      <c r="K21" s="3">
        <v>4</v>
      </c>
      <c r="L21" s="5">
        <v>35000</v>
      </c>
      <c r="M21" s="6">
        <f>K21*L21</f>
        <v>140000</v>
      </c>
      <c r="N21" s="5">
        <v>0</v>
      </c>
      <c r="O21" s="5">
        <v>0</v>
      </c>
      <c r="P21" s="6">
        <f>ROUND(M21*0.1,0)</f>
        <v>14000</v>
      </c>
      <c r="Q21" s="6">
        <f>M21+N21+O21+P21</f>
        <v>154000</v>
      </c>
      <c r="R21" s="2"/>
    </row>
    <row r="22" spans="1:18" ht="28.35">
      <c r="A22" s="2" t="s">
        <v>89</v>
      </c>
      <c r="B22" s="2" t="s">
        <v>90</v>
      </c>
      <c r="C22" s="2" t="s">
        <v>84</v>
      </c>
      <c r="D22" s="2" t="s">
        <v>91</v>
      </c>
      <c r="E22" s="2" t="s">
        <v>92</v>
      </c>
      <c r="F22" s="2" t="s">
        <v>87</v>
      </c>
      <c r="G22" s="2" t="s">
        <v>88</v>
      </c>
      <c r="H22" s="3" t="s">
        <v>27</v>
      </c>
      <c r="I22" s="4">
        <v>46261</v>
      </c>
      <c r="J22" s="4">
        <v>46261</v>
      </c>
      <c r="K22" s="3">
        <v>5</v>
      </c>
      <c r="L22" s="5">
        <v>35000</v>
      </c>
      <c r="M22" s="6">
        <f>K22*L22</f>
        <v>175000</v>
      </c>
      <c r="N22" s="5">
        <v>0</v>
      </c>
      <c r="O22" s="5">
        <v>0</v>
      </c>
      <c r="P22" s="6">
        <f>ROUND(M22*0.1,0)</f>
        <v>17500</v>
      </c>
      <c r="Q22" s="6">
        <f>M22+N22+O22+P22</f>
        <v>192500</v>
      </c>
      <c r="R22" s="2"/>
    </row>
    <row r="23" spans="1:18" ht="28.35">
      <c r="A23" s="2" t="s">
        <v>93</v>
      </c>
      <c r="B23" s="2" t="s">
        <v>94</v>
      </c>
      <c r="C23" s="2" t="s">
        <v>84</v>
      </c>
      <c r="D23" s="2" t="s">
        <v>95</v>
      </c>
      <c r="E23" s="2" t="s">
        <v>96</v>
      </c>
      <c r="F23" s="2" t="s">
        <v>87</v>
      </c>
      <c r="G23" s="2" t="s">
        <v>88</v>
      </c>
      <c r="H23" s="3" t="s">
        <v>27</v>
      </c>
      <c r="I23" s="4">
        <v>46262</v>
      </c>
      <c r="J23" s="4">
        <v>46262</v>
      </c>
      <c r="K23" s="3">
        <v>4</v>
      </c>
      <c r="L23" s="5">
        <v>35000</v>
      </c>
      <c r="M23" s="6">
        <f>K23*L23</f>
        <v>140000</v>
      </c>
      <c r="N23" s="5">
        <v>0</v>
      </c>
      <c r="O23" s="5">
        <v>0</v>
      </c>
      <c r="P23" s="6">
        <f>ROUND(M23*0.1,0)</f>
        <v>14000</v>
      </c>
      <c r="Q23" s="6">
        <f>M23+N23+O23+P23</f>
        <v>154000</v>
      </c>
      <c r="R23" s="2"/>
    </row>
    <row r="24" spans="1:18" ht="28.35">
      <c r="A24" s="2" t="s">
        <v>97</v>
      </c>
      <c r="B24" s="2" t="s">
        <v>98</v>
      </c>
      <c r="C24" s="2" t="s">
        <v>84</v>
      </c>
      <c r="D24" s="2" t="s">
        <v>99</v>
      </c>
      <c r="E24" s="2" t="s">
        <v>100</v>
      </c>
      <c r="F24" s="2" t="s">
        <v>101</v>
      </c>
      <c r="G24" s="2" t="s">
        <v>101</v>
      </c>
      <c r="H24" s="3" t="s">
        <v>27</v>
      </c>
      <c r="I24" s="4">
        <v>46265</v>
      </c>
      <c r="J24" s="4">
        <v>46265</v>
      </c>
      <c r="K24" s="3">
        <v>3</v>
      </c>
      <c r="L24" s="5">
        <v>35000</v>
      </c>
      <c r="M24" s="6">
        <f>K24*L24</f>
        <v>105000</v>
      </c>
      <c r="N24" s="5">
        <v>0</v>
      </c>
      <c r="O24" s="5">
        <v>0</v>
      </c>
      <c r="P24" s="6">
        <f>ROUND(M24*0.1,0)</f>
        <v>10500</v>
      </c>
      <c r="Q24" s="6">
        <f>M24+N24+O24+P24</f>
        <v>115500</v>
      </c>
      <c r="R24" s="2"/>
    </row>
    <row r="25" spans="1:18" ht="28.35">
      <c r="A25" s="2" t="s">
        <v>102</v>
      </c>
      <c r="B25" s="2" t="s">
        <v>103</v>
      </c>
      <c r="C25" s="2" t="s">
        <v>84</v>
      </c>
      <c r="D25" s="2" t="s">
        <v>104</v>
      </c>
      <c r="E25" s="2" t="s">
        <v>105</v>
      </c>
      <c r="F25" s="2" t="s">
        <v>87</v>
      </c>
      <c r="G25" s="2" t="s">
        <v>88</v>
      </c>
      <c r="H25" s="3" t="s">
        <v>27</v>
      </c>
      <c r="I25" s="4">
        <v>46266</v>
      </c>
      <c r="J25" s="4">
        <v>46266</v>
      </c>
      <c r="K25" s="3">
        <v>5</v>
      </c>
      <c r="L25" s="5">
        <v>35000</v>
      </c>
      <c r="M25" s="6">
        <f>K25*L25</f>
        <v>175000</v>
      </c>
      <c r="N25" s="5">
        <v>0</v>
      </c>
      <c r="O25" s="5">
        <v>0</v>
      </c>
      <c r="P25" s="6">
        <f>ROUND(M25*0.1,0)</f>
        <v>17500</v>
      </c>
      <c r="Q25" s="6">
        <f>M25+N25+O25+P25</f>
        <v>192500</v>
      </c>
      <c r="R25" s="2"/>
    </row>
    <row r="26" spans="1:18" ht="28.35">
      <c r="A26" s="2" t="s">
        <v>106</v>
      </c>
      <c r="B26" s="2" t="s">
        <v>107</v>
      </c>
      <c r="C26" s="2" t="s">
        <v>84</v>
      </c>
      <c r="D26" s="2" t="s">
        <v>108</v>
      </c>
      <c r="E26" s="2" t="s">
        <v>109</v>
      </c>
      <c r="F26" s="2" t="s">
        <v>87</v>
      </c>
      <c r="G26" s="2" t="s">
        <v>88</v>
      </c>
      <c r="H26" s="3" t="s">
        <v>27</v>
      </c>
      <c r="I26" s="4">
        <v>46267</v>
      </c>
      <c r="J26" s="4">
        <v>46267</v>
      </c>
      <c r="K26" s="3">
        <v>6</v>
      </c>
      <c r="L26" s="5">
        <v>35000</v>
      </c>
      <c r="M26" s="6">
        <f>K26*L26</f>
        <v>210000</v>
      </c>
      <c r="N26" s="5">
        <v>0</v>
      </c>
      <c r="O26" s="5">
        <v>0</v>
      </c>
      <c r="P26" s="6">
        <f>ROUND(M26*0.1,0)</f>
        <v>21000</v>
      </c>
      <c r="Q26" s="6">
        <f>M26+N26+O26+P26</f>
        <v>231000</v>
      </c>
      <c r="R26" s="2"/>
    </row>
    <row r="27" spans="1:18" ht="28.35">
      <c r="A27" s="2" t="s">
        <v>110</v>
      </c>
      <c r="B27" s="2" t="s">
        <v>111</v>
      </c>
      <c r="C27" s="2" t="s">
        <v>84</v>
      </c>
      <c r="D27" s="2" t="s">
        <v>112</v>
      </c>
      <c r="E27" s="2" t="s">
        <v>113</v>
      </c>
      <c r="F27" s="2" t="s">
        <v>87</v>
      </c>
      <c r="G27" s="2" t="s">
        <v>114</v>
      </c>
      <c r="H27" s="3" t="s">
        <v>27</v>
      </c>
      <c r="I27" s="4">
        <v>46268</v>
      </c>
      <c r="J27" s="4">
        <v>46268</v>
      </c>
      <c r="K27" s="3">
        <v>4</v>
      </c>
      <c r="L27" s="5">
        <v>35000</v>
      </c>
      <c r="M27" s="6">
        <f>K27*L27</f>
        <v>140000</v>
      </c>
      <c r="N27" s="5">
        <v>0</v>
      </c>
      <c r="O27" s="5">
        <v>0</v>
      </c>
      <c r="P27" s="6">
        <f>ROUND(M27*0.1,0)</f>
        <v>14000</v>
      </c>
      <c r="Q27" s="6">
        <f>M27+N27+O27+P27</f>
        <v>154000</v>
      </c>
      <c r="R27" s="2"/>
    </row>
    <row r="28" spans="1:18">
      <c r="A28" s="12" t="s">
        <v>115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ht="28.35">
      <c r="A29" s="2" t="s">
        <v>116</v>
      </c>
      <c r="B29" s="2" t="s">
        <v>117</v>
      </c>
      <c r="C29" s="2" t="s">
        <v>118</v>
      </c>
      <c r="D29" s="2" t="s">
        <v>119</v>
      </c>
      <c r="E29" s="2" t="s">
        <v>120</v>
      </c>
      <c r="F29" s="2" t="s">
        <v>121</v>
      </c>
      <c r="G29" s="2" t="s">
        <v>122</v>
      </c>
      <c r="H29" s="3" t="s">
        <v>27</v>
      </c>
      <c r="I29" s="4">
        <v>46268</v>
      </c>
      <c r="J29" s="4">
        <v>46268</v>
      </c>
      <c r="K29" s="3">
        <v>4</v>
      </c>
      <c r="L29" s="5">
        <v>35000</v>
      </c>
      <c r="M29" s="6">
        <f>K29*L29</f>
        <v>140000</v>
      </c>
      <c r="N29" s="5">
        <v>0</v>
      </c>
      <c r="O29" s="5">
        <v>0</v>
      </c>
      <c r="P29" s="6">
        <f>ROUND(M29*0.1,0)</f>
        <v>14000</v>
      </c>
      <c r="Q29" s="6">
        <f>M29+N29+O29+P29</f>
        <v>154000</v>
      </c>
      <c r="R29" s="2"/>
    </row>
    <row r="30" spans="1:18" ht="28.35">
      <c r="A30" s="2" t="s">
        <v>123</v>
      </c>
      <c r="B30" s="2" t="s">
        <v>124</v>
      </c>
      <c r="C30" s="2" t="s">
        <v>118</v>
      </c>
      <c r="D30" s="2" t="s">
        <v>125</v>
      </c>
      <c r="E30" s="2" t="s">
        <v>126</v>
      </c>
      <c r="F30" s="2" t="s">
        <v>121</v>
      </c>
      <c r="G30" s="2" t="s">
        <v>122</v>
      </c>
      <c r="H30" s="3" t="s">
        <v>27</v>
      </c>
      <c r="I30" s="4">
        <v>46269</v>
      </c>
      <c r="J30" s="4">
        <v>46269</v>
      </c>
      <c r="K30" s="3">
        <v>6</v>
      </c>
      <c r="L30" s="5">
        <v>35000</v>
      </c>
      <c r="M30" s="6">
        <f>K30*L30</f>
        <v>210000</v>
      </c>
      <c r="N30" s="5">
        <v>0</v>
      </c>
      <c r="O30" s="5">
        <v>0</v>
      </c>
      <c r="P30" s="6">
        <f>ROUND(M30*0.1,0)</f>
        <v>21000</v>
      </c>
      <c r="Q30" s="6">
        <f>M30+N30+O30+P30</f>
        <v>231000</v>
      </c>
      <c r="R30" s="2"/>
    </row>
    <row r="31" spans="1:18" ht="28.35">
      <c r="A31" s="2" t="s">
        <v>127</v>
      </c>
      <c r="B31" s="2" t="s">
        <v>128</v>
      </c>
      <c r="C31" s="2" t="s">
        <v>118</v>
      </c>
      <c r="D31" s="2" t="s">
        <v>129</v>
      </c>
      <c r="E31" s="2" t="s">
        <v>130</v>
      </c>
      <c r="F31" s="2" t="s">
        <v>121</v>
      </c>
      <c r="G31" s="2" t="s">
        <v>122</v>
      </c>
      <c r="H31" s="3" t="s">
        <v>27</v>
      </c>
      <c r="I31" s="4">
        <v>46272</v>
      </c>
      <c r="J31" s="4">
        <v>46272</v>
      </c>
      <c r="K31" s="3">
        <v>4</v>
      </c>
      <c r="L31" s="5">
        <v>35000</v>
      </c>
      <c r="M31" s="6">
        <f>K31*L31</f>
        <v>140000</v>
      </c>
      <c r="N31" s="5">
        <v>0</v>
      </c>
      <c r="O31" s="5">
        <v>0</v>
      </c>
      <c r="P31" s="6">
        <f>ROUND(M31*0.1,0)</f>
        <v>14000</v>
      </c>
      <c r="Q31" s="6">
        <f>M31+N31+O31+P31</f>
        <v>154000</v>
      </c>
      <c r="R31" s="2"/>
    </row>
    <row r="32" spans="1:18" ht="28.35">
      <c r="A32" s="2" t="s">
        <v>131</v>
      </c>
      <c r="B32" s="2" t="s">
        <v>132</v>
      </c>
      <c r="C32" s="2" t="s">
        <v>118</v>
      </c>
      <c r="D32" s="2" t="s">
        <v>133</v>
      </c>
      <c r="E32" s="2" t="s">
        <v>134</v>
      </c>
      <c r="F32" s="2" t="s">
        <v>121</v>
      </c>
      <c r="G32" s="2" t="s">
        <v>122</v>
      </c>
      <c r="H32" s="3" t="s">
        <v>27</v>
      </c>
      <c r="I32" s="4">
        <v>46273</v>
      </c>
      <c r="J32" s="4">
        <v>46273</v>
      </c>
      <c r="K32" s="3">
        <v>4</v>
      </c>
      <c r="L32" s="5">
        <v>35000</v>
      </c>
      <c r="M32" s="6">
        <f>K32*L32</f>
        <v>140000</v>
      </c>
      <c r="N32" s="5">
        <v>0</v>
      </c>
      <c r="O32" s="5">
        <v>0</v>
      </c>
      <c r="P32" s="6">
        <f>ROUND(M32*0.1,0)</f>
        <v>14000</v>
      </c>
      <c r="Q32" s="6">
        <f>M32+N32+O32+P32</f>
        <v>154000</v>
      </c>
      <c r="R32" s="2"/>
    </row>
    <row r="33" spans="1:18" ht="41.85">
      <c r="A33" s="2" t="s">
        <v>135</v>
      </c>
      <c r="B33" s="2" t="s">
        <v>136</v>
      </c>
      <c r="C33" s="2" t="s">
        <v>118</v>
      </c>
      <c r="D33" s="2" t="s">
        <v>137</v>
      </c>
      <c r="E33" s="2" t="s">
        <v>138</v>
      </c>
      <c r="F33" s="2" t="s">
        <v>121</v>
      </c>
      <c r="G33" s="2" t="s">
        <v>122</v>
      </c>
      <c r="H33" s="3" t="s">
        <v>27</v>
      </c>
      <c r="I33" s="4">
        <v>46274</v>
      </c>
      <c r="J33" s="4">
        <v>46274</v>
      </c>
      <c r="K33" s="3">
        <v>4</v>
      </c>
      <c r="L33" s="5">
        <v>35000</v>
      </c>
      <c r="M33" s="6">
        <f>K33*L33</f>
        <v>140000</v>
      </c>
      <c r="N33" s="5">
        <v>0</v>
      </c>
      <c r="O33" s="5">
        <v>0</v>
      </c>
      <c r="P33" s="6">
        <f>ROUND(M33*0.1,0)</f>
        <v>14000</v>
      </c>
      <c r="Q33" s="6">
        <f>M33+N33+O33+P33</f>
        <v>154000</v>
      </c>
      <c r="R33" s="2"/>
    </row>
    <row r="34" spans="1:18" ht="28.35">
      <c r="A34" s="2" t="s">
        <v>139</v>
      </c>
      <c r="B34" s="2" t="s">
        <v>140</v>
      </c>
      <c r="C34" s="2" t="s">
        <v>118</v>
      </c>
      <c r="D34" s="2" t="s">
        <v>141</v>
      </c>
      <c r="E34" s="2" t="s">
        <v>142</v>
      </c>
      <c r="F34" s="2" t="s">
        <v>121</v>
      </c>
      <c r="G34" s="2" t="s">
        <v>122</v>
      </c>
      <c r="H34" s="3" t="s">
        <v>27</v>
      </c>
      <c r="I34" s="4">
        <v>46275</v>
      </c>
      <c r="J34" s="4">
        <v>46275</v>
      </c>
      <c r="K34" s="3">
        <v>4</v>
      </c>
      <c r="L34" s="5">
        <v>35000</v>
      </c>
      <c r="M34" s="6">
        <f>K34*L34</f>
        <v>140000</v>
      </c>
      <c r="N34" s="5">
        <v>0</v>
      </c>
      <c r="O34" s="5">
        <v>0</v>
      </c>
      <c r="P34" s="6">
        <f>ROUND(M34*0.1,0)</f>
        <v>14000</v>
      </c>
      <c r="Q34" s="6">
        <f>M34+N34+O34+P34</f>
        <v>154000</v>
      </c>
      <c r="R34" s="2"/>
    </row>
    <row r="35" spans="1:18" ht="28.35">
      <c r="A35" s="2" t="s">
        <v>143</v>
      </c>
      <c r="B35" s="2" t="s">
        <v>144</v>
      </c>
      <c r="C35" s="2" t="s">
        <v>118</v>
      </c>
      <c r="D35" s="2" t="s">
        <v>145</v>
      </c>
      <c r="E35" s="2" t="s">
        <v>146</v>
      </c>
      <c r="F35" s="2" t="s">
        <v>147</v>
      </c>
      <c r="G35" s="2" t="s">
        <v>148</v>
      </c>
      <c r="H35" s="3" t="s">
        <v>27</v>
      </c>
      <c r="I35" s="4">
        <v>46272</v>
      </c>
      <c r="J35" s="4">
        <v>46272</v>
      </c>
      <c r="K35" s="3">
        <v>4</v>
      </c>
      <c r="L35" s="5">
        <v>35000</v>
      </c>
      <c r="M35" s="6">
        <f>K35*L35</f>
        <v>140000</v>
      </c>
      <c r="N35" s="5">
        <v>0</v>
      </c>
      <c r="O35" s="5">
        <v>0</v>
      </c>
      <c r="P35" s="6">
        <f>ROUND(M35*0.1,0)</f>
        <v>14000</v>
      </c>
      <c r="Q35" s="6">
        <f>M35+N35+O35+P35</f>
        <v>154000</v>
      </c>
      <c r="R35" s="2"/>
    </row>
    <row r="36" spans="1:18">
      <c r="A36" s="12" t="s">
        <v>149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1:18" ht="41.85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s">
        <v>121</v>
      </c>
      <c r="G37" s="2" t="s">
        <v>155</v>
      </c>
      <c r="H37" s="3" t="s">
        <v>27</v>
      </c>
      <c r="I37" s="4">
        <v>46276</v>
      </c>
      <c r="J37" s="4">
        <v>46279</v>
      </c>
      <c r="K37" s="3">
        <v>8</v>
      </c>
      <c r="L37" s="5">
        <v>35000</v>
      </c>
      <c r="M37" s="6">
        <f>K37*L37</f>
        <v>280000</v>
      </c>
      <c r="N37" s="5">
        <v>0</v>
      </c>
      <c r="O37" s="5">
        <v>20000</v>
      </c>
      <c r="P37" s="6">
        <f>ROUND(M37*0.1,0)</f>
        <v>28000</v>
      </c>
      <c r="Q37" s="6">
        <f>M37+N37+O37+P37</f>
        <v>328000</v>
      </c>
      <c r="R37" s="2" t="s">
        <v>156</v>
      </c>
    </row>
    <row r="38" spans="1:18" ht="28.35">
      <c r="A38" s="2" t="s">
        <v>157</v>
      </c>
      <c r="B38" s="2" t="s">
        <v>158</v>
      </c>
      <c r="C38" s="2" t="s">
        <v>152</v>
      </c>
      <c r="D38" s="2" t="s">
        <v>159</v>
      </c>
      <c r="E38" s="2" t="s">
        <v>160</v>
      </c>
      <c r="F38" s="2" t="s">
        <v>147</v>
      </c>
      <c r="G38" s="2" t="s">
        <v>161</v>
      </c>
      <c r="H38" s="3" t="s">
        <v>27</v>
      </c>
      <c r="I38" s="4">
        <v>46275</v>
      </c>
      <c r="J38" s="4">
        <v>46276</v>
      </c>
      <c r="K38" s="3">
        <v>8</v>
      </c>
      <c r="L38" s="5">
        <v>35000</v>
      </c>
      <c r="M38" s="6">
        <f>K38*L38</f>
        <v>280000</v>
      </c>
      <c r="N38" s="5">
        <v>0</v>
      </c>
      <c r="O38" s="5">
        <v>0</v>
      </c>
      <c r="P38" s="6">
        <f>ROUND(M38*0.1,0)</f>
        <v>28000</v>
      </c>
      <c r="Q38" s="6">
        <f>M38+N38+O38+P38</f>
        <v>308000</v>
      </c>
      <c r="R38" s="2"/>
    </row>
    <row r="39" spans="1:18" ht="55.15">
      <c r="A39" s="2" t="s">
        <v>162</v>
      </c>
      <c r="B39" s="2" t="s">
        <v>163</v>
      </c>
      <c r="C39" s="2" t="s">
        <v>152</v>
      </c>
      <c r="D39" s="2" t="s">
        <v>164</v>
      </c>
      <c r="E39" s="2" t="s">
        <v>165</v>
      </c>
      <c r="F39" s="2" t="s">
        <v>166</v>
      </c>
      <c r="G39" s="2" t="s">
        <v>167</v>
      </c>
      <c r="H39" s="3" t="s">
        <v>27</v>
      </c>
      <c r="I39" s="4">
        <v>46280</v>
      </c>
      <c r="J39" s="4">
        <v>46281</v>
      </c>
      <c r="K39" s="3">
        <v>10</v>
      </c>
      <c r="L39" s="5">
        <v>35000</v>
      </c>
      <c r="M39" s="6">
        <f>K39*L39</f>
        <v>350000</v>
      </c>
      <c r="N39" s="5">
        <v>0</v>
      </c>
      <c r="O39" s="5">
        <v>40000</v>
      </c>
      <c r="P39" s="6">
        <f>ROUND(M39*0.1,0)</f>
        <v>35000</v>
      </c>
      <c r="Q39" s="6">
        <f>M39+N39+O39+P39</f>
        <v>425000</v>
      </c>
      <c r="R39" s="2" t="s">
        <v>168</v>
      </c>
    </row>
    <row r="40" spans="1:18">
      <c r="A40" s="12" t="s">
        <v>169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spans="1:18" ht="28.35">
      <c r="A41" s="2" t="s">
        <v>170</v>
      </c>
      <c r="B41" s="2" t="s">
        <v>171</v>
      </c>
      <c r="C41" s="2" t="s">
        <v>172</v>
      </c>
      <c r="D41" s="2" t="s">
        <v>173</v>
      </c>
      <c r="E41" s="2" t="s">
        <v>174</v>
      </c>
      <c r="F41" s="2" t="s">
        <v>175</v>
      </c>
      <c r="G41" s="2" t="s">
        <v>176</v>
      </c>
      <c r="H41" s="3" t="s">
        <v>27</v>
      </c>
      <c r="I41" s="4">
        <v>46280</v>
      </c>
      <c r="J41" s="4">
        <v>46280</v>
      </c>
      <c r="K41" s="3">
        <v>3</v>
      </c>
      <c r="L41" s="5">
        <v>35000</v>
      </c>
      <c r="M41" s="6">
        <f>K41*L41</f>
        <v>105000</v>
      </c>
      <c r="N41" s="5">
        <v>0</v>
      </c>
      <c r="O41" s="5">
        <v>0</v>
      </c>
      <c r="P41" s="6">
        <f>ROUND(M41*0.1,0)</f>
        <v>10500</v>
      </c>
      <c r="Q41" s="6">
        <f>M41+N41+O41+P41</f>
        <v>115500</v>
      </c>
      <c r="R41" s="2"/>
    </row>
    <row r="42" spans="1:18" ht="55.15">
      <c r="A42" s="2" t="s">
        <v>177</v>
      </c>
      <c r="B42" s="2" t="s">
        <v>178</v>
      </c>
      <c r="C42" s="2" t="s">
        <v>172</v>
      </c>
      <c r="D42" s="2" t="s">
        <v>179</v>
      </c>
      <c r="E42" s="2" t="s">
        <v>180</v>
      </c>
      <c r="F42" s="2" t="s">
        <v>175</v>
      </c>
      <c r="G42" s="2" t="s">
        <v>181</v>
      </c>
      <c r="H42" s="3" t="s">
        <v>27</v>
      </c>
      <c r="I42" s="4">
        <v>46281</v>
      </c>
      <c r="J42" s="4">
        <v>46281</v>
      </c>
      <c r="K42" s="3">
        <v>4</v>
      </c>
      <c r="L42" s="5">
        <v>35000</v>
      </c>
      <c r="M42" s="6">
        <f>K42*L42</f>
        <v>140000</v>
      </c>
      <c r="N42" s="5">
        <v>0</v>
      </c>
      <c r="O42" s="5">
        <v>40000</v>
      </c>
      <c r="P42" s="6">
        <f>ROUND(M42*0.1,0)</f>
        <v>14000</v>
      </c>
      <c r="Q42" s="6">
        <f>M42+N42+O42+P42</f>
        <v>194000</v>
      </c>
      <c r="R42" s="2" t="s">
        <v>182</v>
      </c>
    </row>
    <row r="43" spans="1:18" ht="28.35">
      <c r="A43" s="2" t="s">
        <v>183</v>
      </c>
      <c r="B43" s="2" t="s">
        <v>184</v>
      </c>
      <c r="C43" s="2" t="s">
        <v>172</v>
      </c>
      <c r="D43" s="2" t="s">
        <v>185</v>
      </c>
      <c r="E43" s="2" t="s">
        <v>186</v>
      </c>
      <c r="F43" s="2" t="s">
        <v>147</v>
      </c>
      <c r="G43" s="2" t="s">
        <v>187</v>
      </c>
      <c r="H43" s="3" t="s">
        <v>27</v>
      </c>
      <c r="I43" s="4">
        <v>46282</v>
      </c>
      <c r="J43" s="4">
        <v>46282</v>
      </c>
      <c r="K43" s="3">
        <v>4</v>
      </c>
      <c r="L43" s="5">
        <v>35000</v>
      </c>
      <c r="M43" s="6">
        <f>K43*L43</f>
        <v>140000</v>
      </c>
      <c r="N43" s="5">
        <v>0</v>
      </c>
      <c r="O43" s="5">
        <v>0</v>
      </c>
      <c r="P43" s="6">
        <f>ROUND(M43*0.1,0)</f>
        <v>14000</v>
      </c>
      <c r="Q43" s="6">
        <f>M43+N43+O43+P43</f>
        <v>154000</v>
      </c>
      <c r="R43" s="2"/>
    </row>
    <row r="44" spans="1:18" ht="28.35">
      <c r="A44" s="2" t="s">
        <v>188</v>
      </c>
      <c r="B44" s="2" t="s">
        <v>189</v>
      </c>
      <c r="C44" s="2" t="s">
        <v>172</v>
      </c>
      <c r="D44" s="2" t="s">
        <v>190</v>
      </c>
      <c r="E44" s="2" t="s">
        <v>191</v>
      </c>
      <c r="F44" s="2" t="s">
        <v>175</v>
      </c>
      <c r="G44" s="2" t="s">
        <v>181</v>
      </c>
      <c r="H44" s="3" t="s">
        <v>27</v>
      </c>
      <c r="I44" s="4">
        <v>46282</v>
      </c>
      <c r="J44" s="4">
        <v>46282</v>
      </c>
      <c r="K44" s="3">
        <v>3</v>
      </c>
      <c r="L44" s="5">
        <v>35000</v>
      </c>
      <c r="M44" s="6">
        <f>K44*L44</f>
        <v>105000</v>
      </c>
      <c r="N44" s="5">
        <v>0</v>
      </c>
      <c r="O44" s="5">
        <v>0</v>
      </c>
      <c r="P44" s="6">
        <f>ROUND(M44*0.1,0)</f>
        <v>10500</v>
      </c>
      <c r="Q44" s="6">
        <f>M44+N44+O44+P44</f>
        <v>115500</v>
      </c>
      <c r="R44" s="2"/>
    </row>
    <row r="45" spans="1:18" ht="28.35">
      <c r="A45" s="2" t="s">
        <v>192</v>
      </c>
      <c r="B45" s="2" t="s">
        <v>193</v>
      </c>
      <c r="C45" s="2" t="s">
        <v>172</v>
      </c>
      <c r="D45" s="2" t="s">
        <v>194</v>
      </c>
      <c r="E45" s="2" t="s">
        <v>195</v>
      </c>
      <c r="F45" s="2" t="s">
        <v>121</v>
      </c>
      <c r="G45" s="2" t="s">
        <v>155</v>
      </c>
      <c r="H45" s="3" t="s">
        <v>27</v>
      </c>
      <c r="I45" s="4">
        <v>46281</v>
      </c>
      <c r="J45" s="4">
        <v>46281</v>
      </c>
      <c r="K45" s="3">
        <v>4</v>
      </c>
      <c r="L45" s="5">
        <v>35000</v>
      </c>
      <c r="M45" s="6">
        <f>K45*L45</f>
        <v>140000</v>
      </c>
      <c r="N45" s="5">
        <v>0</v>
      </c>
      <c r="O45" s="5">
        <v>0</v>
      </c>
      <c r="P45" s="6">
        <f>ROUND(M45*0.1,0)</f>
        <v>14000</v>
      </c>
      <c r="Q45" s="6">
        <f>M45+N45+O45+P45</f>
        <v>154000</v>
      </c>
      <c r="R45" s="2"/>
    </row>
    <row r="46" spans="1:18">
      <c r="A46" s="12" t="s">
        <v>196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 ht="28.35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s">
        <v>202</v>
      </c>
      <c r="G47" s="2" t="s">
        <v>202</v>
      </c>
      <c r="H47" s="3" t="s">
        <v>27</v>
      </c>
      <c r="I47" s="4">
        <v>46283</v>
      </c>
      <c r="J47" s="4">
        <v>46283</v>
      </c>
      <c r="K47" s="3">
        <v>6</v>
      </c>
      <c r="L47" s="5">
        <v>35000</v>
      </c>
      <c r="M47" s="6">
        <f>K47*L47</f>
        <v>210000</v>
      </c>
      <c r="N47" s="5">
        <v>0</v>
      </c>
      <c r="O47" s="5">
        <v>0</v>
      </c>
      <c r="P47" s="6">
        <f>ROUND(M47*0.1,0)</f>
        <v>21000</v>
      </c>
      <c r="Q47" s="6">
        <f>M47+N47+O47+P47</f>
        <v>231000</v>
      </c>
      <c r="R47" s="2"/>
    </row>
    <row r="48" spans="1:18" ht="28.35">
      <c r="A48" s="2" t="s">
        <v>203</v>
      </c>
      <c r="B48" s="2" t="s">
        <v>204</v>
      </c>
      <c r="C48" s="2" t="s">
        <v>199</v>
      </c>
      <c r="D48" s="2" t="s">
        <v>205</v>
      </c>
      <c r="E48" s="2" t="s">
        <v>206</v>
      </c>
      <c r="F48" s="2" t="s">
        <v>202</v>
      </c>
      <c r="G48" s="2" t="s">
        <v>202</v>
      </c>
      <c r="H48" s="3" t="s">
        <v>27</v>
      </c>
      <c r="I48" s="4">
        <v>46286</v>
      </c>
      <c r="J48" s="4">
        <v>46286</v>
      </c>
      <c r="K48" s="3">
        <v>6</v>
      </c>
      <c r="L48" s="5">
        <v>35000</v>
      </c>
      <c r="M48" s="6">
        <f>K48*L48</f>
        <v>210000</v>
      </c>
      <c r="N48" s="5">
        <v>0</v>
      </c>
      <c r="O48" s="5">
        <v>0</v>
      </c>
      <c r="P48" s="6">
        <f>ROUND(M48*0.1,0)</f>
        <v>21000</v>
      </c>
      <c r="Q48" s="6">
        <f>M48+N48+O48+P48</f>
        <v>231000</v>
      </c>
      <c r="R48" s="2"/>
    </row>
    <row r="49" spans="1:18" ht="28.35">
      <c r="A49" s="2" t="s">
        <v>207</v>
      </c>
      <c r="B49" s="2" t="s">
        <v>208</v>
      </c>
      <c r="C49" s="2" t="s">
        <v>199</v>
      </c>
      <c r="D49" s="2" t="s">
        <v>209</v>
      </c>
      <c r="E49" s="2" t="s">
        <v>210</v>
      </c>
      <c r="F49" s="2" t="s">
        <v>211</v>
      </c>
      <c r="G49" s="2" t="s">
        <v>211</v>
      </c>
      <c r="H49" s="3" t="s">
        <v>27</v>
      </c>
      <c r="I49" s="4">
        <v>46287</v>
      </c>
      <c r="J49" s="4">
        <v>46287</v>
      </c>
      <c r="K49" s="3">
        <v>5</v>
      </c>
      <c r="L49" s="5">
        <v>35000</v>
      </c>
      <c r="M49" s="6">
        <f>K49*L49</f>
        <v>175000</v>
      </c>
      <c r="N49" s="5">
        <v>0</v>
      </c>
      <c r="O49" s="5">
        <v>0</v>
      </c>
      <c r="P49" s="6">
        <f>ROUND(M49*0.1,0)</f>
        <v>17500</v>
      </c>
      <c r="Q49" s="6">
        <f>M49+N49+O49+P49</f>
        <v>192500</v>
      </c>
      <c r="R49" s="2"/>
    </row>
    <row r="50" spans="1:18" ht="28.35">
      <c r="A50" s="2" t="s">
        <v>212</v>
      </c>
      <c r="B50" s="2" t="s">
        <v>213</v>
      </c>
      <c r="C50" s="2" t="s">
        <v>199</v>
      </c>
      <c r="D50" s="2" t="s">
        <v>214</v>
      </c>
      <c r="E50" s="2" t="s">
        <v>215</v>
      </c>
      <c r="F50" s="2" t="s">
        <v>216</v>
      </c>
      <c r="G50" s="2" t="s">
        <v>216</v>
      </c>
      <c r="H50" s="3" t="s">
        <v>27</v>
      </c>
      <c r="I50" s="4">
        <v>46288</v>
      </c>
      <c r="J50" s="4">
        <v>46288</v>
      </c>
      <c r="K50" s="3">
        <v>3</v>
      </c>
      <c r="L50" s="5">
        <v>35000</v>
      </c>
      <c r="M50" s="6">
        <f>K50*L50</f>
        <v>105000</v>
      </c>
      <c r="N50" s="5">
        <v>0</v>
      </c>
      <c r="O50" s="5">
        <v>0</v>
      </c>
      <c r="P50" s="6">
        <f>ROUND(M50*0.1,0)</f>
        <v>10500</v>
      </c>
      <c r="Q50" s="6">
        <f>M50+N50+O50+P50</f>
        <v>115500</v>
      </c>
      <c r="R50" s="2"/>
    </row>
    <row r="51" spans="1:18" ht="28.35">
      <c r="A51" s="2" t="s">
        <v>217</v>
      </c>
      <c r="B51" s="2" t="s">
        <v>218</v>
      </c>
      <c r="C51" s="2" t="s">
        <v>199</v>
      </c>
      <c r="D51" s="2" t="s">
        <v>219</v>
      </c>
      <c r="E51" s="2" t="s">
        <v>220</v>
      </c>
      <c r="F51" s="2" t="s">
        <v>202</v>
      </c>
      <c r="G51" s="2" t="s">
        <v>202</v>
      </c>
      <c r="H51" s="3" t="s">
        <v>27</v>
      </c>
      <c r="I51" s="4">
        <v>46289</v>
      </c>
      <c r="J51" s="4">
        <v>46289</v>
      </c>
      <c r="K51" s="3">
        <v>5</v>
      </c>
      <c r="L51" s="5">
        <v>35000</v>
      </c>
      <c r="M51" s="6">
        <f>K51*L51</f>
        <v>175000</v>
      </c>
      <c r="N51" s="5">
        <v>0</v>
      </c>
      <c r="O51" s="5">
        <v>0</v>
      </c>
      <c r="P51" s="6">
        <f>ROUND(M51*0.1,0)</f>
        <v>17500</v>
      </c>
      <c r="Q51" s="6">
        <f>M51+N51+O51+P51</f>
        <v>192500</v>
      </c>
      <c r="R51" s="2"/>
    </row>
    <row r="52" spans="1:18" ht="28.35">
      <c r="A52" s="2" t="s">
        <v>221</v>
      </c>
      <c r="B52" s="2" t="s">
        <v>222</v>
      </c>
      <c r="C52" s="2" t="s">
        <v>199</v>
      </c>
      <c r="D52" s="2" t="s">
        <v>223</v>
      </c>
      <c r="E52" s="2" t="s">
        <v>224</v>
      </c>
      <c r="F52" s="2" t="s">
        <v>202</v>
      </c>
      <c r="G52" s="2" t="s">
        <v>202</v>
      </c>
      <c r="H52" s="3" t="s">
        <v>27</v>
      </c>
      <c r="I52" s="4">
        <v>46290</v>
      </c>
      <c r="J52" s="4">
        <v>46290</v>
      </c>
      <c r="K52" s="3">
        <v>6</v>
      </c>
      <c r="L52" s="5">
        <v>35000</v>
      </c>
      <c r="M52" s="6">
        <f>K52*L52</f>
        <v>210000</v>
      </c>
      <c r="N52" s="5">
        <v>0</v>
      </c>
      <c r="O52" s="5">
        <v>0</v>
      </c>
      <c r="P52" s="6">
        <f>ROUND(M52*0.1,0)</f>
        <v>21000</v>
      </c>
      <c r="Q52" s="6">
        <f>M52+N52+O52+P52</f>
        <v>231000</v>
      </c>
      <c r="R52" s="2"/>
    </row>
    <row r="53" spans="1:18" ht="28.35">
      <c r="A53" s="2" t="s">
        <v>225</v>
      </c>
      <c r="B53" s="2" t="s">
        <v>226</v>
      </c>
      <c r="C53" s="2" t="s">
        <v>199</v>
      </c>
      <c r="D53" s="2" t="s">
        <v>227</v>
      </c>
      <c r="E53" s="2" t="s">
        <v>228</v>
      </c>
      <c r="F53" s="2" t="s">
        <v>211</v>
      </c>
      <c r="G53" s="2" t="s">
        <v>211</v>
      </c>
      <c r="H53" s="3" t="s">
        <v>27</v>
      </c>
      <c r="I53" s="4">
        <v>46293</v>
      </c>
      <c r="J53" s="4">
        <v>46293</v>
      </c>
      <c r="K53" s="3">
        <v>5</v>
      </c>
      <c r="L53" s="5">
        <v>35000</v>
      </c>
      <c r="M53" s="6">
        <f>K53*L53</f>
        <v>175000</v>
      </c>
      <c r="N53" s="5">
        <v>0</v>
      </c>
      <c r="O53" s="5">
        <v>0</v>
      </c>
      <c r="P53" s="6">
        <f>ROUND(M53*0.1,0)</f>
        <v>17500</v>
      </c>
      <c r="Q53" s="6">
        <f>M53+N53+O53+P53</f>
        <v>192500</v>
      </c>
      <c r="R53" s="2"/>
    </row>
    <row r="54" spans="1:18" ht="28.35">
      <c r="A54" s="2" t="s">
        <v>229</v>
      </c>
      <c r="B54" s="2" t="s">
        <v>230</v>
      </c>
      <c r="C54" s="2" t="s">
        <v>199</v>
      </c>
      <c r="D54" s="2" t="s">
        <v>231</v>
      </c>
      <c r="E54" s="2" t="s">
        <v>232</v>
      </c>
      <c r="F54" s="2" t="s">
        <v>216</v>
      </c>
      <c r="G54" s="2" t="s">
        <v>216</v>
      </c>
      <c r="H54" s="3" t="s">
        <v>27</v>
      </c>
      <c r="I54" s="4">
        <v>46294</v>
      </c>
      <c r="J54" s="4">
        <v>46294</v>
      </c>
      <c r="K54" s="3">
        <v>3</v>
      </c>
      <c r="L54" s="5">
        <v>35000</v>
      </c>
      <c r="M54" s="6">
        <f>K54*L54</f>
        <v>105000</v>
      </c>
      <c r="N54" s="5">
        <v>0</v>
      </c>
      <c r="O54" s="5">
        <v>0</v>
      </c>
      <c r="P54" s="6">
        <f>ROUND(M54*0.1,0)</f>
        <v>10500</v>
      </c>
      <c r="Q54" s="6">
        <f>M54+N54+O54+P54</f>
        <v>115500</v>
      </c>
      <c r="R54" s="2"/>
    </row>
    <row r="55" spans="1:18">
      <c r="A55" s="2" t="s">
        <v>233</v>
      </c>
      <c r="B55" s="2" t="s">
        <v>234</v>
      </c>
      <c r="C55" s="2" t="s">
        <v>199</v>
      </c>
      <c r="D55" s="2" t="s">
        <v>235</v>
      </c>
      <c r="E55" s="2" t="s">
        <v>236</v>
      </c>
      <c r="F55" s="2" t="s">
        <v>202</v>
      </c>
      <c r="G55" s="2" t="s">
        <v>202</v>
      </c>
      <c r="H55" s="3" t="s">
        <v>27</v>
      </c>
      <c r="I55" s="4">
        <v>46295</v>
      </c>
      <c r="J55" s="4">
        <v>46295</v>
      </c>
      <c r="K55" s="3">
        <v>6</v>
      </c>
      <c r="L55" s="5">
        <v>35000</v>
      </c>
      <c r="M55" s="6">
        <f>K55*L55</f>
        <v>210000</v>
      </c>
      <c r="N55" s="5">
        <v>0</v>
      </c>
      <c r="O55" s="5">
        <v>0</v>
      </c>
      <c r="P55" s="6">
        <f>ROUND(M55*0.1,0)</f>
        <v>21000</v>
      </c>
      <c r="Q55" s="6">
        <f>M55+N55+O55+P55</f>
        <v>231000</v>
      </c>
      <c r="R55" s="2"/>
    </row>
    <row r="56" spans="1:18" ht="28.35">
      <c r="A56" s="2" t="s">
        <v>237</v>
      </c>
      <c r="B56" s="2" t="s">
        <v>238</v>
      </c>
      <c r="C56" s="2" t="s">
        <v>199</v>
      </c>
      <c r="D56" s="2" t="s">
        <v>239</v>
      </c>
      <c r="E56" s="2" t="s">
        <v>240</v>
      </c>
      <c r="F56" s="2" t="s">
        <v>211</v>
      </c>
      <c r="G56" s="2" t="s">
        <v>211</v>
      </c>
      <c r="H56" s="3" t="s">
        <v>27</v>
      </c>
      <c r="I56" s="4">
        <v>46296</v>
      </c>
      <c r="J56" s="4">
        <v>46296</v>
      </c>
      <c r="K56" s="3">
        <v>5</v>
      </c>
      <c r="L56" s="5">
        <v>35000</v>
      </c>
      <c r="M56" s="6">
        <f>K56*L56</f>
        <v>175000</v>
      </c>
      <c r="N56" s="5">
        <v>0</v>
      </c>
      <c r="O56" s="5">
        <v>0</v>
      </c>
      <c r="P56" s="6">
        <f>ROUND(M56*0.1,0)</f>
        <v>17500</v>
      </c>
      <c r="Q56" s="6">
        <f>M56+N56+O56+P56</f>
        <v>192500</v>
      </c>
      <c r="R56" s="2"/>
    </row>
    <row r="57" spans="1:18" ht="28.35">
      <c r="A57" s="2" t="s">
        <v>241</v>
      </c>
      <c r="B57" s="2" t="s">
        <v>242</v>
      </c>
      <c r="C57" s="2" t="s">
        <v>199</v>
      </c>
      <c r="D57" s="2" t="s">
        <v>243</v>
      </c>
      <c r="E57" s="2" t="s">
        <v>244</v>
      </c>
      <c r="F57" s="2" t="s">
        <v>245</v>
      </c>
      <c r="G57" s="2" t="s">
        <v>245</v>
      </c>
      <c r="H57" s="3" t="s">
        <v>27</v>
      </c>
      <c r="I57" s="4">
        <v>46297</v>
      </c>
      <c r="J57" s="4">
        <v>46297</v>
      </c>
      <c r="K57" s="3">
        <v>4</v>
      </c>
      <c r="L57" s="5">
        <v>35000</v>
      </c>
      <c r="M57" s="6">
        <f>K57*L57</f>
        <v>140000</v>
      </c>
      <c r="N57" s="5">
        <v>0</v>
      </c>
      <c r="O57" s="5">
        <v>0</v>
      </c>
      <c r="P57" s="6">
        <f>ROUND(M57*0.1,0)</f>
        <v>14000</v>
      </c>
      <c r="Q57" s="6">
        <f>M57+N57+O57+P57</f>
        <v>154000</v>
      </c>
      <c r="R57" s="2"/>
    </row>
    <row r="58" spans="1:18" ht="28.35">
      <c r="A58" s="2" t="s">
        <v>246</v>
      </c>
      <c r="B58" s="2" t="s">
        <v>247</v>
      </c>
      <c r="C58" s="2" t="s">
        <v>199</v>
      </c>
      <c r="D58" s="2" t="s">
        <v>248</v>
      </c>
      <c r="E58" s="2" t="s">
        <v>249</v>
      </c>
      <c r="F58" s="2" t="s">
        <v>216</v>
      </c>
      <c r="G58" s="2" t="s">
        <v>216</v>
      </c>
      <c r="H58" s="3" t="s">
        <v>27</v>
      </c>
      <c r="I58" s="4">
        <v>46300</v>
      </c>
      <c r="J58" s="4">
        <v>46300</v>
      </c>
      <c r="K58" s="3">
        <v>3</v>
      </c>
      <c r="L58" s="5">
        <v>35000</v>
      </c>
      <c r="M58" s="6">
        <f>K58*L58</f>
        <v>105000</v>
      </c>
      <c r="N58" s="5">
        <v>0</v>
      </c>
      <c r="O58" s="5">
        <v>0</v>
      </c>
      <c r="P58" s="6">
        <f>ROUND(M58*0.1,0)</f>
        <v>10500</v>
      </c>
      <c r="Q58" s="6">
        <f>M58+N58+O58+P58</f>
        <v>115500</v>
      </c>
      <c r="R58" s="2"/>
    </row>
    <row r="59" spans="1:18" ht="28.35">
      <c r="A59" s="2" t="s">
        <v>250</v>
      </c>
      <c r="B59" s="2" t="s">
        <v>251</v>
      </c>
      <c r="C59" s="2" t="s">
        <v>199</v>
      </c>
      <c r="D59" s="2" t="s">
        <v>252</v>
      </c>
      <c r="E59" s="2" t="s">
        <v>253</v>
      </c>
      <c r="F59" s="2" t="s">
        <v>202</v>
      </c>
      <c r="G59" s="2" t="s">
        <v>202</v>
      </c>
      <c r="H59" s="3" t="s">
        <v>27</v>
      </c>
      <c r="I59" s="4">
        <v>46301</v>
      </c>
      <c r="J59" s="4">
        <v>46301</v>
      </c>
      <c r="K59" s="3">
        <v>6</v>
      </c>
      <c r="L59" s="5">
        <v>35000</v>
      </c>
      <c r="M59" s="6">
        <f>K59*L59</f>
        <v>210000</v>
      </c>
      <c r="N59" s="5">
        <v>0</v>
      </c>
      <c r="O59" s="5">
        <v>0</v>
      </c>
      <c r="P59" s="6">
        <f>ROUND(M59*0.1,0)</f>
        <v>21000</v>
      </c>
      <c r="Q59" s="6">
        <f>M59+N59+O59+P59</f>
        <v>231000</v>
      </c>
      <c r="R59" s="2"/>
    </row>
    <row r="60" spans="1:18" ht="28.35">
      <c r="A60" s="2" t="s">
        <v>254</v>
      </c>
      <c r="B60" s="2" t="s">
        <v>255</v>
      </c>
      <c r="C60" s="2" t="s">
        <v>199</v>
      </c>
      <c r="D60" s="2" t="s">
        <v>256</v>
      </c>
      <c r="E60" s="2" t="s">
        <v>257</v>
      </c>
      <c r="F60" s="2" t="s">
        <v>202</v>
      </c>
      <c r="G60" s="2" t="s">
        <v>202</v>
      </c>
      <c r="H60" s="3" t="s">
        <v>27</v>
      </c>
      <c r="I60" s="4">
        <v>46302</v>
      </c>
      <c r="J60" s="4">
        <v>46302</v>
      </c>
      <c r="K60" s="3">
        <v>6</v>
      </c>
      <c r="L60" s="5">
        <v>35000</v>
      </c>
      <c r="M60" s="6">
        <f>K60*L60</f>
        <v>210000</v>
      </c>
      <c r="N60" s="5">
        <v>0</v>
      </c>
      <c r="O60" s="5">
        <v>0</v>
      </c>
      <c r="P60" s="6">
        <f>ROUND(M60*0.1,0)</f>
        <v>21000</v>
      </c>
      <c r="Q60" s="6">
        <f>M60+N60+O60+P60</f>
        <v>231000</v>
      </c>
      <c r="R60" s="2"/>
    </row>
    <row r="61" spans="1:18" ht="28.35">
      <c r="A61" s="2" t="s">
        <v>258</v>
      </c>
      <c r="B61" s="2" t="s">
        <v>259</v>
      </c>
      <c r="C61" s="2" t="s">
        <v>199</v>
      </c>
      <c r="D61" s="2" t="s">
        <v>260</v>
      </c>
      <c r="E61" s="2" t="s">
        <v>261</v>
      </c>
      <c r="F61" s="2" t="s">
        <v>211</v>
      </c>
      <c r="G61" s="2" t="s">
        <v>211</v>
      </c>
      <c r="H61" s="3" t="s">
        <v>27</v>
      </c>
      <c r="I61" s="4">
        <v>46303</v>
      </c>
      <c r="J61" s="4">
        <v>46303</v>
      </c>
      <c r="K61" s="3">
        <v>5</v>
      </c>
      <c r="L61" s="5">
        <v>35000</v>
      </c>
      <c r="M61" s="6">
        <f>K61*L61</f>
        <v>175000</v>
      </c>
      <c r="N61" s="5">
        <v>0</v>
      </c>
      <c r="O61" s="5">
        <v>0</v>
      </c>
      <c r="P61" s="6">
        <f>ROUND(M61*0.1,0)</f>
        <v>17500</v>
      </c>
      <c r="Q61" s="6">
        <f>M61+N61+O61+P61</f>
        <v>192500</v>
      </c>
      <c r="R61" s="2"/>
    </row>
    <row r="62" spans="1:18" ht="28.35">
      <c r="A62" s="2" t="s">
        <v>262</v>
      </c>
      <c r="B62" s="2" t="s">
        <v>263</v>
      </c>
      <c r="C62" s="2" t="s">
        <v>199</v>
      </c>
      <c r="D62" s="2" t="s">
        <v>264</v>
      </c>
      <c r="E62" s="2" t="s">
        <v>265</v>
      </c>
      <c r="F62" s="2" t="s">
        <v>211</v>
      </c>
      <c r="G62" s="2" t="s">
        <v>211</v>
      </c>
      <c r="H62" s="3" t="s">
        <v>27</v>
      </c>
      <c r="I62" s="4">
        <v>46304</v>
      </c>
      <c r="J62" s="4">
        <v>46304</v>
      </c>
      <c r="K62" s="3">
        <v>5</v>
      </c>
      <c r="L62" s="5">
        <v>35000</v>
      </c>
      <c r="M62" s="6">
        <f>K62*L62</f>
        <v>175000</v>
      </c>
      <c r="N62" s="5">
        <v>0</v>
      </c>
      <c r="O62" s="5">
        <v>0</v>
      </c>
      <c r="P62" s="6">
        <f>ROUND(M62*0.1,0)</f>
        <v>17500</v>
      </c>
      <c r="Q62" s="6">
        <f>M62+N62+O62+P62</f>
        <v>192500</v>
      </c>
      <c r="R62" s="2"/>
    </row>
    <row r="63" spans="1:18" ht="28.35">
      <c r="A63" s="2" t="s">
        <v>266</v>
      </c>
      <c r="B63" s="2" t="s">
        <v>267</v>
      </c>
      <c r="C63" s="2" t="s">
        <v>199</v>
      </c>
      <c r="D63" s="2" t="s">
        <v>268</v>
      </c>
      <c r="E63" s="2" t="s">
        <v>269</v>
      </c>
      <c r="F63" s="2" t="s">
        <v>245</v>
      </c>
      <c r="G63" s="2" t="s">
        <v>245</v>
      </c>
      <c r="H63" s="3" t="s">
        <v>27</v>
      </c>
      <c r="I63" s="4">
        <v>46307</v>
      </c>
      <c r="J63" s="4">
        <v>46307</v>
      </c>
      <c r="K63" s="3">
        <v>4</v>
      </c>
      <c r="L63" s="5">
        <v>35000</v>
      </c>
      <c r="M63" s="6">
        <f>K63*L63</f>
        <v>140000</v>
      </c>
      <c r="N63" s="5">
        <v>0</v>
      </c>
      <c r="O63" s="5">
        <v>0</v>
      </c>
      <c r="P63" s="6">
        <f>ROUND(M63*0.1,0)</f>
        <v>14000</v>
      </c>
      <c r="Q63" s="6">
        <f>M63+N63+O63+P63</f>
        <v>154000</v>
      </c>
      <c r="R63" s="2"/>
    </row>
    <row r="64" spans="1:18" ht="28.35">
      <c r="A64" s="2" t="s">
        <v>270</v>
      </c>
      <c r="B64" s="2" t="s">
        <v>271</v>
      </c>
      <c r="C64" s="2" t="s">
        <v>199</v>
      </c>
      <c r="D64" s="2" t="s">
        <v>272</v>
      </c>
      <c r="E64" s="2" t="s">
        <v>273</v>
      </c>
      <c r="F64" s="2" t="s">
        <v>216</v>
      </c>
      <c r="G64" s="2" t="s">
        <v>216</v>
      </c>
      <c r="H64" s="3" t="s">
        <v>27</v>
      </c>
      <c r="I64" s="4">
        <v>46308</v>
      </c>
      <c r="J64" s="4">
        <v>46308</v>
      </c>
      <c r="K64" s="3">
        <v>3</v>
      </c>
      <c r="L64" s="5">
        <v>35000</v>
      </c>
      <c r="M64" s="6">
        <f>K64*L64</f>
        <v>105000</v>
      </c>
      <c r="N64" s="5">
        <v>0</v>
      </c>
      <c r="O64" s="5">
        <v>0</v>
      </c>
      <c r="P64" s="6">
        <f>ROUND(M64*0.1,0)</f>
        <v>10500</v>
      </c>
      <c r="Q64" s="6">
        <f>M64+N64+O64+P64</f>
        <v>115500</v>
      </c>
      <c r="R64" s="2"/>
    </row>
    <row r="65" spans="1:18" ht="28.35">
      <c r="A65" s="2" t="s">
        <v>274</v>
      </c>
      <c r="B65" s="2" t="s">
        <v>275</v>
      </c>
      <c r="C65" s="2" t="s">
        <v>199</v>
      </c>
      <c r="D65" s="2" t="s">
        <v>276</v>
      </c>
      <c r="E65" s="2" t="s">
        <v>277</v>
      </c>
      <c r="F65" s="2" t="s">
        <v>202</v>
      </c>
      <c r="G65" s="2" t="s">
        <v>202</v>
      </c>
      <c r="H65" s="3" t="s">
        <v>27</v>
      </c>
      <c r="I65" s="4">
        <v>46309</v>
      </c>
      <c r="J65" s="4">
        <v>46309</v>
      </c>
      <c r="K65" s="3">
        <v>6</v>
      </c>
      <c r="L65" s="5">
        <v>35000</v>
      </c>
      <c r="M65" s="6">
        <f>K65*L65</f>
        <v>210000</v>
      </c>
      <c r="N65" s="5">
        <v>0</v>
      </c>
      <c r="O65" s="5">
        <v>0</v>
      </c>
      <c r="P65" s="6">
        <f>ROUND(M65*0.1,0)</f>
        <v>21000</v>
      </c>
      <c r="Q65" s="6">
        <f>M65+N65+O65+P65</f>
        <v>231000</v>
      </c>
      <c r="R65" s="2"/>
    </row>
    <row r="66" spans="1:18" ht="28.35">
      <c r="A66" s="2" t="s">
        <v>278</v>
      </c>
      <c r="B66" s="2" t="s">
        <v>279</v>
      </c>
      <c r="C66" s="2" t="s">
        <v>199</v>
      </c>
      <c r="D66" s="2" t="s">
        <v>280</v>
      </c>
      <c r="E66" s="2" t="s">
        <v>281</v>
      </c>
      <c r="F66" s="2" t="s">
        <v>202</v>
      </c>
      <c r="G66" s="2" t="s">
        <v>202</v>
      </c>
      <c r="H66" s="3" t="s">
        <v>27</v>
      </c>
      <c r="I66" s="4">
        <v>46310</v>
      </c>
      <c r="J66" s="4">
        <v>46310</v>
      </c>
      <c r="K66" s="3">
        <v>6</v>
      </c>
      <c r="L66" s="5">
        <v>35000</v>
      </c>
      <c r="M66" s="6">
        <f>K66*L66</f>
        <v>210000</v>
      </c>
      <c r="N66" s="5">
        <v>0</v>
      </c>
      <c r="O66" s="5">
        <v>0</v>
      </c>
      <c r="P66" s="6">
        <f>ROUND(M66*0.1,0)</f>
        <v>21000</v>
      </c>
      <c r="Q66" s="6">
        <f>M66+N66+O66+P66</f>
        <v>231000</v>
      </c>
      <c r="R66" s="2"/>
    </row>
    <row r="67" spans="1:18" ht="28.35">
      <c r="A67" s="2" t="s">
        <v>282</v>
      </c>
      <c r="B67" s="2" t="s">
        <v>283</v>
      </c>
      <c r="C67" s="2" t="s">
        <v>199</v>
      </c>
      <c r="D67" s="2" t="s">
        <v>284</v>
      </c>
      <c r="E67" s="2" t="s">
        <v>285</v>
      </c>
      <c r="F67" s="2" t="s">
        <v>202</v>
      </c>
      <c r="G67" s="2" t="s">
        <v>202</v>
      </c>
      <c r="H67" s="3" t="s">
        <v>27</v>
      </c>
      <c r="I67" s="4">
        <v>46311</v>
      </c>
      <c r="J67" s="4">
        <v>46311</v>
      </c>
      <c r="K67" s="3">
        <v>6</v>
      </c>
      <c r="L67" s="5">
        <v>35000</v>
      </c>
      <c r="M67" s="6">
        <f>K67*L67</f>
        <v>210000</v>
      </c>
      <c r="N67" s="5">
        <v>0</v>
      </c>
      <c r="O67" s="5">
        <v>0</v>
      </c>
      <c r="P67" s="6">
        <f>ROUND(M67*0.1,0)</f>
        <v>21000</v>
      </c>
      <c r="Q67" s="6">
        <f>M67+N67+O67+P67</f>
        <v>231000</v>
      </c>
      <c r="R67" s="2"/>
    </row>
    <row r="68" spans="1:18" ht="28.35">
      <c r="A68" s="2" t="s">
        <v>286</v>
      </c>
      <c r="B68" s="2" t="s">
        <v>287</v>
      </c>
      <c r="C68" s="2" t="s">
        <v>199</v>
      </c>
      <c r="D68" s="2" t="s">
        <v>288</v>
      </c>
      <c r="E68" s="2" t="s">
        <v>289</v>
      </c>
      <c r="F68" s="2" t="s">
        <v>211</v>
      </c>
      <c r="G68" s="2" t="s">
        <v>211</v>
      </c>
      <c r="H68" s="3" t="s">
        <v>27</v>
      </c>
      <c r="I68" s="4">
        <v>46314</v>
      </c>
      <c r="J68" s="4">
        <v>46314</v>
      </c>
      <c r="K68" s="3">
        <v>5</v>
      </c>
      <c r="L68" s="5">
        <v>35000</v>
      </c>
      <c r="M68" s="6">
        <f>K68*L68</f>
        <v>175000</v>
      </c>
      <c r="N68" s="5">
        <v>0</v>
      </c>
      <c r="O68" s="5">
        <v>0</v>
      </c>
      <c r="P68" s="6">
        <f>ROUND(M68*0.1,0)</f>
        <v>17500</v>
      </c>
      <c r="Q68" s="6">
        <f>M68+N68+O68+P68</f>
        <v>192500</v>
      </c>
      <c r="R68" s="2"/>
    </row>
    <row r="69" spans="1:18" ht="28.35">
      <c r="A69" s="2" t="s">
        <v>290</v>
      </c>
      <c r="B69" s="2" t="s">
        <v>291</v>
      </c>
      <c r="C69" s="2" t="s">
        <v>199</v>
      </c>
      <c r="D69" s="2" t="s">
        <v>292</v>
      </c>
      <c r="E69" s="2" t="s">
        <v>293</v>
      </c>
      <c r="F69" s="2" t="s">
        <v>245</v>
      </c>
      <c r="G69" s="2" t="s">
        <v>245</v>
      </c>
      <c r="H69" s="3" t="s">
        <v>27</v>
      </c>
      <c r="I69" s="4">
        <v>46315</v>
      </c>
      <c r="J69" s="4">
        <v>46315</v>
      </c>
      <c r="K69" s="3">
        <v>4</v>
      </c>
      <c r="L69" s="5">
        <v>35000</v>
      </c>
      <c r="M69" s="6">
        <f>K69*L69</f>
        <v>140000</v>
      </c>
      <c r="N69" s="5">
        <v>0</v>
      </c>
      <c r="O69" s="5">
        <v>0</v>
      </c>
      <c r="P69" s="6">
        <f>ROUND(M69*0.1,0)</f>
        <v>14000</v>
      </c>
      <c r="Q69" s="6">
        <f>M69+N69+O69+P69</f>
        <v>154000</v>
      </c>
      <c r="R69" s="2"/>
    </row>
    <row r="70" spans="1:18" ht="28.35">
      <c r="A70" s="2" t="s">
        <v>294</v>
      </c>
      <c r="B70" s="2" t="s">
        <v>295</v>
      </c>
      <c r="C70" s="2" t="s">
        <v>199</v>
      </c>
      <c r="D70" s="2" t="s">
        <v>296</v>
      </c>
      <c r="E70" s="2" t="s">
        <v>297</v>
      </c>
      <c r="F70" s="2" t="s">
        <v>216</v>
      </c>
      <c r="G70" s="2" t="s">
        <v>216</v>
      </c>
      <c r="H70" s="3" t="s">
        <v>27</v>
      </c>
      <c r="I70" s="4">
        <v>46316</v>
      </c>
      <c r="J70" s="4">
        <v>46316</v>
      </c>
      <c r="K70" s="3">
        <v>3</v>
      </c>
      <c r="L70" s="5">
        <v>35000</v>
      </c>
      <c r="M70" s="6">
        <f>K70*L70</f>
        <v>105000</v>
      </c>
      <c r="N70" s="5">
        <v>0</v>
      </c>
      <c r="O70" s="5">
        <v>0</v>
      </c>
      <c r="P70" s="6">
        <f>ROUND(M70*0.1,0)</f>
        <v>10500</v>
      </c>
      <c r="Q70" s="6">
        <f>M70+N70+O70+P70</f>
        <v>115500</v>
      </c>
      <c r="R70" s="2"/>
    </row>
    <row r="71" spans="1:18" ht="28.35">
      <c r="A71" s="2" t="s">
        <v>298</v>
      </c>
      <c r="B71" s="2" t="s">
        <v>299</v>
      </c>
      <c r="C71" s="2" t="s">
        <v>199</v>
      </c>
      <c r="D71" s="2" t="s">
        <v>300</v>
      </c>
      <c r="E71" s="2" t="s">
        <v>301</v>
      </c>
      <c r="F71" s="2" t="s">
        <v>302</v>
      </c>
      <c r="G71" s="2" t="s">
        <v>302</v>
      </c>
      <c r="H71" s="3" t="s">
        <v>27</v>
      </c>
      <c r="I71" s="4">
        <v>46317</v>
      </c>
      <c r="J71" s="4">
        <v>46317</v>
      </c>
      <c r="K71" s="3">
        <v>3</v>
      </c>
      <c r="L71" s="5">
        <v>35000</v>
      </c>
      <c r="M71" s="6">
        <f>K71*L71</f>
        <v>105000</v>
      </c>
      <c r="N71" s="5">
        <v>0</v>
      </c>
      <c r="O71" s="5">
        <v>0</v>
      </c>
      <c r="P71" s="6">
        <f>ROUND(M71*0.1,0)</f>
        <v>10500</v>
      </c>
      <c r="Q71" s="6">
        <f>M71+N71+O71+P71</f>
        <v>115500</v>
      </c>
      <c r="R71" s="2"/>
    </row>
    <row r="72" spans="1:18" ht="28.35">
      <c r="A72" s="2" t="s">
        <v>303</v>
      </c>
      <c r="B72" s="2" t="s">
        <v>304</v>
      </c>
      <c r="C72" s="2" t="s">
        <v>199</v>
      </c>
      <c r="D72" s="2" t="s">
        <v>305</v>
      </c>
      <c r="E72" s="2" t="s">
        <v>306</v>
      </c>
      <c r="F72" s="2" t="s">
        <v>202</v>
      </c>
      <c r="G72" s="2" t="s">
        <v>202</v>
      </c>
      <c r="H72" s="3" t="s">
        <v>27</v>
      </c>
      <c r="I72" s="4">
        <v>46318</v>
      </c>
      <c r="J72" s="4">
        <v>46318</v>
      </c>
      <c r="K72" s="3">
        <v>6</v>
      </c>
      <c r="L72" s="5">
        <v>35000</v>
      </c>
      <c r="M72" s="6">
        <f>K72*L72</f>
        <v>210000</v>
      </c>
      <c r="N72" s="5">
        <v>0</v>
      </c>
      <c r="O72" s="5">
        <v>0</v>
      </c>
      <c r="P72" s="6">
        <f>ROUND(M72*0.1,0)</f>
        <v>21000</v>
      </c>
      <c r="Q72" s="6">
        <f>M72+N72+O72+P72</f>
        <v>231000</v>
      </c>
      <c r="R72" s="2"/>
    </row>
    <row r="73" spans="1:18" ht="28.35">
      <c r="A73" s="2" t="s">
        <v>307</v>
      </c>
      <c r="B73" s="2" t="s">
        <v>308</v>
      </c>
      <c r="C73" s="2" t="s">
        <v>199</v>
      </c>
      <c r="D73" s="2" t="s">
        <v>309</v>
      </c>
      <c r="E73" s="2" t="s">
        <v>310</v>
      </c>
      <c r="F73" s="2" t="s">
        <v>202</v>
      </c>
      <c r="G73" s="2" t="s">
        <v>202</v>
      </c>
      <c r="H73" s="3" t="s">
        <v>27</v>
      </c>
      <c r="I73" s="4">
        <v>46321</v>
      </c>
      <c r="J73" s="4">
        <v>46321</v>
      </c>
      <c r="K73" s="3">
        <v>6</v>
      </c>
      <c r="L73" s="5">
        <v>35000</v>
      </c>
      <c r="M73" s="6">
        <f>K73*L73</f>
        <v>210000</v>
      </c>
      <c r="N73" s="5">
        <v>0</v>
      </c>
      <c r="O73" s="5">
        <v>0</v>
      </c>
      <c r="P73" s="6">
        <f>ROUND(M73*0.1,0)</f>
        <v>21000</v>
      </c>
      <c r="Q73" s="6">
        <f>M73+N73+O73+P73</f>
        <v>231000</v>
      </c>
      <c r="R73" s="2"/>
    </row>
    <row r="74" spans="1:18">
      <c r="A74" s="2" t="s">
        <v>311</v>
      </c>
      <c r="B74" s="2" t="s">
        <v>312</v>
      </c>
      <c r="C74" s="2" t="s">
        <v>199</v>
      </c>
      <c r="D74" s="2" t="s">
        <v>313</v>
      </c>
      <c r="E74" s="2" t="s">
        <v>314</v>
      </c>
      <c r="F74" s="2" t="s">
        <v>211</v>
      </c>
      <c r="G74" s="2" t="s">
        <v>211</v>
      </c>
      <c r="H74" s="3" t="s">
        <v>27</v>
      </c>
      <c r="I74" s="4">
        <v>46322</v>
      </c>
      <c r="J74" s="4">
        <v>46322</v>
      </c>
      <c r="K74" s="3">
        <v>5</v>
      </c>
      <c r="L74" s="5">
        <v>35000</v>
      </c>
      <c r="M74" s="6">
        <f>K74*L74</f>
        <v>175000</v>
      </c>
      <c r="N74" s="5">
        <v>0</v>
      </c>
      <c r="O74" s="5">
        <v>0</v>
      </c>
      <c r="P74" s="6">
        <f>ROUND(M74*0.1,0)</f>
        <v>17500</v>
      </c>
      <c r="Q74" s="6">
        <f>M74+N74+O74+P74</f>
        <v>192500</v>
      </c>
      <c r="R74" s="2"/>
    </row>
    <row r="75" spans="1:18" ht="28.35">
      <c r="A75" s="2" t="s">
        <v>315</v>
      </c>
      <c r="B75" s="2" t="s">
        <v>316</v>
      </c>
      <c r="C75" s="2" t="s">
        <v>199</v>
      </c>
      <c r="D75" s="2" t="s">
        <v>317</v>
      </c>
      <c r="E75" s="2" t="s">
        <v>318</v>
      </c>
      <c r="F75" s="2" t="s">
        <v>216</v>
      </c>
      <c r="G75" s="2" t="s">
        <v>216</v>
      </c>
      <c r="H75" s="3" t="s">
        <v>27</v>
      </c>
      <c r="I75" s="4">
        <v>46323</v>
      </c>
      <c r="J75" s="4">
        <v>46323</v>
      </c>
      <c r="K75" s="3">
        <v>3</v>
      </c>
      <c r="L75" s="5">
        <v>35000</v>
      </c>
      <c r="M75" s="6">
        <f>K75*L75</f>
        <v>105000</v>
      </c>
      <c r="N75" s="5">
        <v>0</v>
      </c>
      <c r="O75" s="5">
        <v>0</v>
      </c>
      <c r="P75" s="6">
        <f>ROUND(M75*0.1,0)</f>
        <v>10500</v>
      </c>
      <c r="Q75" s="6">
        <f>M75+N75+O75+P75</f>
        <v>115500</v>
      </c>
      <c r="R75" s="2"/>
    </row>
    <row r="76" spans="1:18" ht="28.35">
      <c r="A76" s="2" t="s">
        <v>319</v>
      </c>
      <c r="B76" s="2" t="s">
        <v>320</v>
      </c>
      <c r="C76" s="2" t="s">
        <v>199</v>
      </c>
      <c r="D76" s="2" t="s">
        <v>321</v>
      </c>
      <c r="E76" s="2" t="s">
        <v>322</v>
      </c>
      <c r="F76" s="2" t="s">
        <v>202</v>
      </c>
      <c r="G76" s="2" t="s">
        <v>202</v>
      </c>
      <c r="H76" s="3" t="s">
        <v>27</v>
      </c>
      <c r="I76" s="4">
        <v>46324</v>
      </c>
      <c r="J76" s="4">
        <v>46324</v>
      </c>
      <c r="K76" s="3">
        <v>6</v>
      </c>
      <c r="L76" s="5">
        <v>35000</v>
      </c>
      <c r="M76" s="6">
        <f>K76*L76</f>
        <v>210000</v>
      </c>
      <c r="N76" s="5">
        <v>0</v>
      </c>
      <c r="O76" s="5">
        <v>0</v>
      </c>
      <c r="P76" s="6">
        <f>ROUND(M76*0.1,0)</f>
        <v>21000</v>
      </c>
      <c r="Q76" s="6">
        <f>M76+N76+O76+P76</f>
        <v>231000</v>
      </c>
      <c r="R76" s="2"/>
    </row>
    <row r="77" spans="1:18" ht="28.35">
      <c r="A77" s="2" t="s">
        <v>323</v>
      </c>
      <c r="B77" s="2" t="s">
        <v>324</v>
      </c>
      <c r="C77" s="2" t="s">
        <v>199</v>
      </c>
      <c r="D77" s="2" t="s">
        <v>325</v>
      </c>
      <c r="E77" s="2" t="s">
        <v>326</v>
      </c>
      <c r="F77" s="2" t="s">
        <v>202</v>
      </c>
      <c r="G77" s="2" t="s">
        <v>202</v>
      </c>
      <c r="H77" s="3" t="s">
        <v>27</v>
      </c>
      <c r="I77" s="4">
        <v>46325</v>
      </c>
      <c r="J77" s="4">
        <v>46325</v>
      </c>
      <c r="K77" s="3">
        <v>6</v>
      </c>
      <c r="L77" s="5">
        <v>35000</v>
      </c>
      <c r="M77" s="6">
        <f>K77*L77</f>
        <v>210000</v>
      </c>
      <c r="N77" s="5">
        <v>0</v>
      </c>
      <c r="O77" s="5">
        <v>0</v>
      </c>
      <c r="P77" s="6">
        <f>ROUND(M77*0.1,0)</f>
        <v>21000</v>
      </c>
      <c r="Q77" s="6">
        <f>M77+N77+O77+P77</f>
        <v>231000</v>
      </c>
      <c r="R77" s="2"/>
    </row>
    <row r="78" spans="1:18" ht="28.35">
      <c r="A78" s="2" t="s">
        <v>327</v>
      </c>
      <c r="B78" s="2" t="s">
        <v>328</v>
      </c>
      <c r="C78" s="2" t="s">
        <v>199</v>
      </c>
      <c r="D78" s="2" t="s">
        <v>329</v>
      </c>
      <c r="E78" s="2" t="s">
        <v>330</v>
      </c>
      <c r="F78" s="2" t="s">
        <v>202</v>
      </c>
      <c r="G78" s="2" t="s">
        <v>202</v>
      </c>
      <c r="H78" s="3" t="s">
        <v>27</v>
      </c>
      <c r="I78" s="4">
        <v>46328</v>
      </c>
      <c r="J78" s="4">
        <v>46328</v>
      </c>
      <c r="K78" s="3">
        <v>5</v>
      </c>
      <c r="L78" s="5">
        <v>35000</v>
      </c>
      <c r="M78" s="6">
        <f>K78*L78</f>
        <v>175000</v>
      </c>
      <c r="N78" s="5">
        <v>0</v>
      </c>
      <c r="O78" s="5">
        <v>0</v>
      </c>
      <c r="P78" s="6">
        <f>ROUND(M78*0.1,0)</f>
        <v>17500</v>
      </c>
      <c r="Q78" s="6">
        <f>M78+N78+O78+P78</f>
        <v>192500</v>
      </c>
      <c r="R78" s="2"/>
    </row>
    <row r="79" spans="1:18" ht="28.35">
      <c r="A79" s="2" t="s">
        <v>331</v>
      </c>
      <c r="B79" s="2" t="s">
        <v>332</v>
      </c>
      <c r="C79" s="2" t="s">
        <v>199</v>
      </c>
      <c r="D79" s="2" t="s">
        <v>333</v>
      </c>
      <c r="E79" s="2" t="s">
        <v>334</v>
      </c>
      <c r="F79" s="2" t="s">
        <v>216</v>
      </c>
      <c r="G79" s="2" t="s">
        <v>216</v>
      </c>
      <c r="H79" s="3" t="s">
        <v>27</v>
      </c>
      <c r="I79" s="4">
        <v>46329</v>
      </c>
      <c r="J79" s="4">
        <v>46329</v>
      </c>
      <c r="K79" s="3">
        <v>3</v>
      </c>
      <c r="L79" s="5">
        <v>35000</v>
      </c>
      <c r="M79" s="6">
        <f>K79*L79</f>
        <v>105000</v>
      </c>
      <c r="N79" s="5">
        <v>0</v>
      </c>
      <c r="O79" s="5">
        <v>0</v>
      </c>
      <c r="P79" s="6">
        <f>ROUND(M79*0.1,0)</f>
        <v>10500</v>
      </c>
      <c r="Q79" s="6">
        <f>M79+N79+O79+P79</f>
        <v>115500</v>
      </c>
      <c r="R79" s="2"/>
    </row>
    <row r="80" spans="1:18">
      <c r="A80" s="12" t="s">
        <v>335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 spans="1:18" ht="28.35">
      <c r="A81" s="2" t="s">
        <v>336</v>
      </c>
      <c r="B81" s="2" t="s">
        <v>337</v>
      </c>
      <c r="C81" s="2" t="s">
        <v>338</v>
      </c>
      <c r="D81" s="2" t="s">
        <v>339</v>
      </c>
      <c r="E81" s="2" t="s">
        <v>340</v>
      </c>
      <c r="F81" s="2" t="s">
        <v>25</v>
      </c>
      <c r="G81" s="2" t="s">
        <v>341</v>
      </c>
      <c r="H81" s="3" t="s">
        <v>27</v>
      </c>
      <c r="I81" s="4">
        <v>46330</v>
      </c>
      <c r="J81" s="4">
        <v>46330</v>
      </c>
      <c r="K81" s="3">
        <v>5</v>
      </c>
      <c r="L81" s="5">
        <v>35000</v>
      </c>
      <c r="M81" s="6">
        <f>K81*L81</f>
        <v>175000</v>
      </c>
      <c r="N81" s="5">
        <v>0</v>
      </c>
      <c r="O81" s="5">
        <v>0</v>
      </c>
      <c r="P81" s="6">
        <f>ROUND(M81*0.1,0)</f>
        <v>17500</v>
      </c>
      <c r="Q81" s="6">
        <f>M81+N81+O81+P81</f>
        <v>192500</v>
      </c>
      <c r="R81" s="2"/>
    </row>
    <row r="82" spans="1:18" ht="28.35">
      <c r="A82" s="2" t="s">
        <v>342</v>
      </c>
      <c r="B82" s="2" t="s">
        <v>343</v>
      </c>
      <c r="C82" s="2" t="s">
        <v>338</v>
      </c>
      <c r="D82" s="2" t="s">
        <v>344</v>
      </c>
      <c r="E82" s="2" t="s">
        <v>345</v>
      </c>
      <c r="F82" s="2" t="s">
        <v>25</v>
      </c>
      <c r="G82" s="2" t="s">
        <v>341</v>
      </c>
      <c r="H82" s="3" t="s">
        <v>27</v>
      </c>
      <c r="I82" s="4">
        <v>46301</v>
      </c>
      <c r="J82" s="4">
        <v>46301</v>
      </c>
      <c r="K82" s="3">
        <v>5</v>
      </c>
      <c r="L82" s="5">
        <v>35000</v>
      </c>
      <c r="M82" s="6">
        <f>K82*L82</f>
        <v>175000</v>
      </c>
      <c r="N82" s="5">
        <v>0</v>
      </c>
      <c r="O82" s="5">
        <v>0</v>
      </c>
      <c r="P82" s="6">
        <f>ROUND(M82*0.1,0)</f>
        <v>17500</v>
      </c>
      <c r="Q82" s="6">
        <f>M82+N82+O82+P82</f>
        <v>192500</v>
      </c>
      <c r="R82" s="2"/>
    </row>
    <row r="83" spans="1:18" ht="28.35">
      <c r="A83" s="2" t="s">
        <v>346</v>
      </c>
      <c r="B83" s="2" t="s">
        <v>347</v>
      </c>
      <c r="C83" s="2" t="s">
        <v>338</v>
      </c>
      <c r="D83" s="2" t="s">
        <v>348</v>
      </c>
      <c r="E83" s="2" t="s">
        <v>349</v>
      </c>
      <c r="F83" s="2" t="s">
        <v>25</v>
      </c>
      <c r="G83" s="2" t="s">
        <v>341</v>
      </c>
      <c r="H83" s="3" t="s">
        <v>27</v>
      </c>
      <c r="I83" s="4">
        <v>46309</v>
      </c>
      <c r="J83" s="4">
        <v>46309</v>
      </c>
      <c r="K83" s="3">
        <v>5</v>
      </c>
      <c r="L83" s="5">
        <v>35000</v>
      </c>
      <c r="M83" s="6">
        <f>K83*L83</f>
        <v>175000</v>
      </c>
      <c r="N83" s="5">
        <v>0</v>
      </c>
      <c r="O83" s="5">
        <v>0</v>
      </c>
      <c r="P83" s="6">
        <f>ROUND(M83*0.1,0)</f>
        <v>17500</v>
      </c>
      <c r="Q83" s="6">
        <f>M83+N83+O83+P83</f>
        <v>192500</v>
      </c>
      <c r="R83" s="2"/>
    </row>
    <row r="84" spans="1:18" ht="28.35">
      <c r="A84" s="2" t="s">
        <v>350</v>
      </c>
      <c r="B84" s="2" t="s">
        <v>351</v>
      </c>
      <c r="C84" s="2" t="s">
        <v>338</v>
      </c>
      <c r="D84" s="2" t="s">
        <v>352</v>
      </c>
      <c r="E84" s="2" t="s">
        <v>353</v>
      </c>
      <c r="F84" s="2" t="s">
        <v>25</v>
      </c>
      <c r="G84" s="2" t="s">
        <v>341</v>
      </c>
      <c r="H84" s="3" t="s">
        <v>27</v>
      </c>
      <c r="I84" s="4">
        <v>46324</v>
      </c>
      <c r="J84" s="4">
        <v>46324</v>
      </c>
      <c r="K84" s="3">
        <v>5</v>
      </c>
      <c r="L84" s="5">
        <v>35000</v>
      </c>
      <c r="M84" s="6">
        <f>K84*L84</f>
        <v>175000</v>
      </c>
      <c r="N84" s="5">
        <v>0</v>
      </c>
      <c r="O84" s="5">
        <v>0</v>
      </c>
      <c r="P84" s="6">
        <f>ROUND(M84*0.1,0)</f>
        <v>17500</v>
      </c>
      <c r="Q84" s="6">
        <f>M84+N84+O84+P84</f>
        <v>192500</v>
      </c>
      <c r="R84" s="2"/>
    </row>
    <row r="85" spans="1:18" ht="28.35">
      <c r="A85" s="2" t="s">
        <v>354</v>
      </c>
      <c r="B85" s="2" t="s">
        <v>355</v>
      </c>
      <c r="C85" s="2" t="s">
        <v>338</v>
      </c>
      <c r="D85" s="2" t="s">
        <v>356</v>
      </c>
      <c r="E85" s="2" t="s">
        <v>357</v>
      </c>
      <c r="F85" s="2" t="s">
        <v>25</v>
      </c>
      <c r="G85" s="2" t="s">
        <v>25</v>
      </c>
      <c r="H85" s="3" t="s">
        <v>27</v>
      </c>
      <c r="I85" s="4">
        <v>46331</v>
      </c>
      <c r="J85" s="4">
        <v>46331</v>
      </c>
      <c r="K85" s="3">
        <v>6</v>
      </c>
      <c r="L85" s="5">
        <v>35000</v>
      </c>
      <c r="M85" s="6">
        <f>K85*L85</f>
        <v>210000</v>
      </c>
      <c r="N85" s="5">
        <v>0</v>
      </c>
      <c r="O85" s="5">
        <v>0</v>
      </c>
      <c r="P85" s="6">
        <f>ROUND(M85*0.1,0)</f>
        <v>21000</v>
      </c>
      <c r="Q85" s="6">
        <f>M85+N85+O85+P85</f>
        <v>231000</v>
      </c>
      <c r="R85" s="2"/>
    </row>
    <row r="86" spans="1:18" ht="28.35">
      <c r="A86" s="2" t="s">
        <v>358</v>
      </c>
      <c r="B86" s="2" t="s">
        <v>359</v>
      </c>
      <c r="C86" s="2" t="s">
        <v>338</v>
      </c>
      <c r="D86" s="2" t="s">
        <v>360</v>
      </c>
      <c r="E86" s="2" t="s">
        <v>361</v>
      </c>
      <c r="F86" s="2" t="s">
        <v>362</v>
      </c>
      <c r="G86" s="2" t="s">
        <v>362</v>
      </c>
      <c r="H86" s="3" t="s">
        <v>27</v>
      </c>
      <c r="I86" s="4">
        <v>46332</v>
      </c>
      <c r="J86" s="4">
        <v>46332</v>
      </c>
      <c r="K86" s="3">
        <v>5</v>
      </c>
      <c r="L86" s="5">
        <v>35000</v>
      </c>
      <c r="M86" s="6">
        <f>K86*L86</f>
        <v>175000</v>
      </c>
      <c r="N86" s="5">
        <v>0</v>
      </c>
      <c r="O86" s="5">
        <v>0</v>
      </c>
      <c r="P86" s="6">
        <f>ROUND(M86*0.1,0)</f>
        <v>17500</v>
      </c>
      <c r="Q86" s="6">
        <f>M86+N86+O86+P86</f>
        <v>192500</v>
      </c>
      <c r="R86" s="2"/>
    </row>
    <row r="87" spans="1:18" ht="28.35">
      <c r="A87" s="2" t="s">
        <v>363</v>
      </c>
      <c r="B87" s="2" t="s">
        <v>364</v>
      </c>
      <c r="C87" s="2" t="s">
        <v>338</v>
      </c>
      <c r="D87" s="2" t="s">
        <v>365</v>
      </c>
      <c r="E87" s="2" t="s">
        <v>366</v>
      </c>
      <c r="F87" s="2" t="s">
        <v>25</v>
      </c>
      <c r="G87" s="2" t="s">
        <v>25</v>
      </c>
      <c r="H87" s="3" t="s">
        <v>27</v>
      </c>
      <c r="I87" s="4">
        <v>46335</v>
      </c>
      <c r="J87" s="4">
        <v>46335</v>
      </c>
      <c r="K87" s="3">
        <v>6</v>
      </c>
      <c r="L87" s="5">
        <v>35000</v>
      </c>
      <c r="M87" s="6">
        <f>K87*L87</f>
        <v>210000</v>
      </c>
      <c r="N87" s="5">
        <v>0</v>
      </c>
      <c r="O87" s="5">
        <v>0</v>
      </c>
      <c r="P87" s="6">
        <f>ROUND(M87*0.1,0)</f>
        <v>21000</v>
      </c>
      <c r="Q87" s="6">
        <f>M87+N87+O87+P87</f>
        <v>231000</v>
      </c>
      <c r="R87" s="2"/>
    </row>
    <row r="88" spans="1:18">
      <c r="A88" s="12" t="s">
        <v>367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 spans="1:18" ht="41.85">
      <c r="A89" s="2" t="s">
        <v>368</v>
      </c>
      <c r="B89" s="2" t="s">
        <v>369</v>
      </c>
      <c r="C89" s="2" t="s">
        <v>370</v>
      </c>
      <c r="D89" s="2" t="s">
        <v>371</v>
      </c>
      <c r="E89" s="2" t="s">
        <v>372</v>
      </c>
      <c r="F89" s="2" t="s">
        <v>362</v>
      </c>
      <c r="G89" s="2" t="s">
        <v>362</v>
      </c>
      <c r="H89" s="3" t="s">
        <v>27</v>
      </c>
      <c r="I89" s="4">
        <v>46336</v>
      </c>
      <c r="J89" s="4">
        <v>46336</v>
      </c>
      <c r="K89" s="3">
        <v>4</v>
      </c>
      <c r="L89" s="5">
        <v>35000</v>
      </c>
      <c r="M89" s="6">
        <f>K89*L89</f>
        <v>140000</v>
      </c>
      <c r="N89" s="5">
        <v>0</v>
      </c>
      <c r="O89" s="5">
        <v>20000</v>
      </c>
      <c r="P89" s="6">
        <f>ROUND(M89*0.1,0)</f>
        <v>14000</v>
      </c>
      <c r="Q89" s="6">
        <f>M89+N89+O89+P89</f>
        <v>174000</v>
      </c>
      <c r="R89" s="2" t="s">
        <v>373</v>
      </c>
    </row>
    <row r="90" spans="1:18" ht="28.35">
      <c r="A90" s="2" t="s">
        <v>374</v>
      </c>
      <c r="B90" s="2" t="s">
        <v>375</v>
      </c>
      <c r="C90" s="2" t="s">
        <v>370</v>
      </c>
      <c r="D90" s="2" t="s">
        <v>376</v>
      </c>
      <c r="E90" s="2" t="s">
        <v>377</v>
      </c>
      <c r="F90" s="2" t="s">
        <v>362</v>
      </c>
      <c r="G90" s="2" t="s">
        <v>362</v>
      </c>
      <c r="H90" s="3" t="s">
        <v>27</v>
      </c>
      <c r="I90" s="4">
        <v>46337</v>
      </c>
      <c r="J90" s="4">
        <v>46337</v>
      </c>
      <c r="K90" s="3">
        <v>3</v>
      </c>
      <c r="L90" s="5">
        <v>35000</v>
      </c>
      <c r="M90" s="6">
        <f>K90*L90</f>
        <v>105000</v>
      </c>
      <c r="N90" s="5">
        <v>0</v>
      </c>
      <c r="O90" s="5">
        <v>0</v>
      </c>
      <c r="P90" s="6">
        <f>ROUND(M90*0.1,0)</f>
        <v>10500</v>
      </c>
      <c r="Q90" s="6">
        <f>M90+N90+O90+P90</f>
        <v>115500</v>
      </c>
      <c r="R90" s="2"/>
    </row>
    <row r="91" spans="1:18" ht="28.35">
      <c r="A91" s="2" t="s">
        <v>378</v>
      </c>
      <c r="B91" s="2" t="s">
        <v>379</v>
      </c>
      <c r="C91" s="2" t="s">
        <v>370</v>
      </c>
      <c r="D91" s="2" t="s">
        <v>380</v>
      </c>
      <c r="E91" s="2" t="s">
        <v>381</v>
      </c>
      <c r="F91" s="2" t="s">
        <v>362</v>
      </c>
      <c r="G91" s="2" t="s">
        <v>362</v>
      </c>
      <c r="H91" s="3" t="s">
        <v>27</v>
      </c>
      <c r="I91" s="4">
        <v>46338</v>
      </c>
      <c r="J91" s="4">
        <v>46338</v>
      </c>
      <c r="K91" s="3">
        <v>3</v>
      </c>
      <c r="L91" s="5">
        <v>35000</v>
      </c>
      <c r="M91" s="6">
        <f>K91*L91</f>
        <v>105000</v>
      </c>
      <c r="N91" s="5">
        <v>0</v>
      </c>
      <c r="O91" s="5">
        <v>0</v>
      </c>
      <c r="P91" s="6">
        <f>ROUND(M91*0.1,0)</f>
        <v>10500</v>
      </c>
      <c r="Q91" s="6">
        <f>M91+N91+O91+P91</f>
        <v>115500</v>
      </c>
      <c r="R91" s="2"/>
    </row>
    <row r="92" spans="1:18" ht="28.35">
      <c r="A92" s="2" t="s">
        <v>382</v>
      </c>
      <c r="B92" s="2" t="s">
        <v>383</v>
      </c>
      <c r="C92" s="2" t="s">
        <v>370</v>
      </c>
      <c r="D92" s="2" t="s">
        <v>384</v>
      </c>
      <c r="E92" s="2" t="s">
        <v>385</v>
      </c>
      <c r="F92" s="2" t="s">
        <v>362</v>
      </c>
      <c r="G92" s="2" t="s">
        <v>362</v>
      </c>
      <c r="H92" s="3" t="s">
        <v>27</v>
      </c>
      <c r="I92" s="4">
        <v>46339</v>
      </c>
      <c r="J92" s="4">
        <v>46339</v>
      </c>
      <c r="K92" s="3">
        <v>3</v>
      </c>
      <c r="L92" s="5">
        <v>35000</v>
      </c>
      <c r="M92" s="6">
        <f>K92*L92</f>
        <v>105000</v>
      </c>
      <c r="N92" s="5">
        <v>0</v>
      </c>
      <c r="O92" s="5">
        <v>0</v>
      </c>
      <c r="P92" s="6">
        <f>ROUND(M92*0.1,0)</f>
        <v>10500</v>
      </c>
      <c r="Q92" s="6">
        <f>M92+N92+O92+P92</f>
        <v>115500</v>
      </c>
      <c r="R92" s="2"/>
    </row>
    <row r="93" spans="1:18" ht="28.35">
      <c r="A93" s="2" t="s">
        <v>386</v>
      </c>
      <c r="B93" s="2" t="s">
        <v>387</v>
      </c>
      <c r="C93" s="2" t="s">
        <v>370</v>
      </c>
      <c r="D93" s="2" t="s">
        <v>388</v>
      </c>
      <c r="E93" s="2" t="s">
        <v>389</v>
      </c>
      <c r="F93" s="2" t="s">
        <v>362</v>
      </c>
      <c r="G93" s="2" t="s">
        <v>362</v>
      </c>
      <c r="H93" s="3" t="s">
        <v>27</v>
      </c>
      <c r="I93" s="4">
        <v>46342</v>
      </c>
      <c r="J93" s="4">
        <v>46342</v>
      </c>
      <c r="K93" s="3">
        <v>3</v>
      </c>
      <c r="L93" s="5">
        <v>35000</v>
      </c>
      <c r="M93" s="6">
        <f>K93*L93</f>
        <v>105000</v>
      </c>
      <c r="N93" s="5">
        <v>0</v>
      </c>
      <c r="O93" s="5">
        <v>0</v>
      </c>
      <c r="P93" s="6">
        <f>ROUND(M93*0.1,0)</f>
        <v>10500</v>
      </c>
      <c r="Q93" s="6">
        <f>M93+N93+O93+P93</f>
        <v>115500</v>
      </c>
      <c r="R93" s="2"/>
    </row>
    <row r="94" spans="1:18">
      <c r="A94" s="2" t="s">
        <v>390</v>
      </c>
      <c r="B94" s="2" t="s">
        <v>391</v>
      </c>
      <c r="C94" s="2" t="s">
        <v>370</v>
      </c>
      <c r="D94" s="2" t="s">
        <v>392</v>
      </c>
      <c r="E94" s="2" t="s">
        <v>393</v>
      </c>
      <c r="F94" s="2" t="s">
        <v>362</v>
      </c>
      <c r="G94" s="2" t="s">
        <v>362</v>
      </c>
      <c r="H94" s="3" t="s">
        <v>27</v>
      </c>
      <c r="I94" s="4">
        <v>46343</v>
      </c>
      <c r="J94" s="4">
        <v>46343</v>
      </c>
      <c r="K94" s="3">
        <v>3</v>
      </c>
      <c r="L94" s="5">
        <v>35000</v>
      </c>
      <c r="M94" s="6">
        <f>K94*L94</f>
        <v>105000</v>
      </c>
      <c r="N94" s="5">
        <v>0</v>
      </c>
      <c r="O94" s="5">
        <v>0</v>
      </c>
      <c r="P94" s="6">
        <f>ROUND(M94*0.1,0)</f>
        <v>10500</v>
      </c>
      <c r="Q94" s="6">
        <f>M94+N94+O94+P94</f>
        <v>115500</v>
      </c>
      <c r="R94" s="2"/>
    </row>
    <row r="95" spans="1:18">
      <c r="A95" s="2" t="s">
        <v>394</v>
      </c>
      <c r="B95" s="2" t="s">
        <v>395</v>
      </c>
      <c r="C95" s="2" t="s">
        <v>370</v>
      </c>
      <c r="D95" s="2" t="s">
        <v>396</v>
      </c>
      <c r="E95" s="2" t="s">
        <v>397</v>
      </c>
      <c r="F95" s="2" t="s">
        <v>362</v>
      </c>
      <c r="G95" s="2" t="s">
        <v>362</v>
      </c>
      <c r="H95" s="3" t="s">
        <v>27</v>
      </c>
      <c r="I95" s="4">
        <v>46344</v>
      </c>
      <c r="J95" s="4">
        <v>46344</v>
      </c>
      <c r="K95" s="3">
        <v>3</v>
      </c>
      <c r="L95" s="5">
        <v>35000</v>
      </c>
      <c r="M95" s="6">
        <f>K95*L95</f>
        <v>105000</v>
      </c>
      <c r="N95" s="5">
        <v>0</v>
      </c>
      <c r="O95" s="5">
        <v>0</v>
      </c>
      <c r="P95" s="6">
        <f>ROUND(M95*0.1,0)</f>
        <v>10500</v>
      </c>
      <c r="Q95" s="6">
        <f>M95+N95+O95+P95</f>
        <v>115500</v>
      </c>
      <c r="R95" s="2"/>
    </row>
    <row r="96" spans="1:18" ht="28.35">
      <c r="A96" s="2" t="s">
        <v>398</v>
      </c>
      <c r="B96" s="2" t="s">
        <v>399</v>
      </c>
      <c r="C96" s="2" t="s">
        <v>370</v>
      </c>
      <c r="D96" s="2" t="s">
        <v>400</v>
      </c>
      <c r="E96" s="2" t="s">
        <v>401</v>
      </c>
      <c r="F96" s="2" t="s">
        <v>362</v>
      </c>
      <c r="G96" s="2" t="s">
        <v>362</v>
      </c>
      <c r="H96" s="3" t="s">
        <v>27</v>
      </c>
      <c r="I96" s="4">
        <v>46345</v>
      </c>
      <c r="J96" s="4">
        <v>46345</v>
      </c>
      <c r="K96" s="3">
        <v>3</v>
      </c>
      <c r="L96" s="5">
        <v>35000</v>
      </c>
      <c r="M96" s="6">
        <f>K96*L96</f>
        <v>105000</v>
      </c>
      <c r="N96" s="5">
        <v>0</v>
      </c>
      <c r="O96" s="5">
        <v>0</v>
      </c>
      <c r="P96" s="6">
        <f>ROUND(M96*0.1,0)</f>
        <v>10500</v>
      </c>
      <c r="Q96" s="6">
        <f>M96+N96+O96+P96</f>
        <v>115500</v>
      </c>
      <c r="R96" s="2"/>
    </row>
    <row r="97" spans="1:18" ht="28.35">
      <c r="A97" s="2" t="s">
        <v>402</v>
      </c>
      <c r="B97" s="2" t="s">
        <v>403</v>
      </c>
      <c r="C97" s="2" t="s">
        <v>370</v>
      </c>
      <c r="D97" s="2" t="s">
        <v>404</v>
      </c>
      <c r="E97" s="2" t="s">
        <v>405</v>
      </c>
      <c r="F97" s="2" t="s">
        <v>406</v>
      </c>
      <c r="G97" s="2" t="s">
        <v>406</v>
      </c>
      <c r="H97" s="3" t="s">
        <v>27</v>
      </c>
      <c r="I97" s="4">
        <v>46346</v>
      </c>
      <c r="J97" s="4">
        <v>46346</v>
      </c>
      <c r="K97" s="3">
        <v>3</v>
      </c>
      <c r="L97" s="5">
        <v>35000</v>
      </c>
      <c r="M97" s="6">
        <f>K97*L97</f>
        <v>105000</v>
      </c>
      <c r="N97" s="5">
        <v>0</v>
      </c>
      <c r="O97" s="5">
        <v>0</v>
      </c>
      <c r="P97" s="6">
        <f>ROUND(M97*0.1,0)</f>
        <v>10500</v>
      </c>
      <c r="Q97" s="6">
        <f>M97+N97+O97+P97</f>
        <v>115500</v>
      </c>
      <c r="R97" s="2"/>
    </row>
    <row r="98" spans="1:18" ht="28.35">
      <c r="A98" s="2" t="s">
        <v>407</v>
      </c>
      <c r="B98" s="2" t="s">
        <v>408</v>
      </c>
      <c r="C98" s="2" t="s">
        <v>370</v>
      </c>
      <c r="D98" s="2" t="s">
        <v>409</v>
      </c>
      <c r="E98" s="2" t="s">
        <v>410</v>
      </c>
      <c r="F98" s="2" t="s">
        <v>362</v>
      </c>
      <c r="G98" s="2" t="s">
        <v>362</v>
      </c>
      <c r="H98" s="3" t="s">
        <v>27</v>
      </c>
      <c r="I98" s="4">
        <v>46349</v>
      </c>
      <c r="J98" s="4">
        <v>46349</v>
      </c>
      <c r="K98" s="3">
        <v>3</v>
      </c>
      <c r="L98" s="5">
        <v>35000</v>
      </c>
      <c r="M98" s="6">
        <f>K98*L98</f>
        <v>105000</v>
      </c>
      <c r="N98" s="5">
        <v>0</v>
      </c>
      <c r="O98" s="5">
        <v>0</v>
      </c>
      <c r="P98" s="6">
        <f>ROUND(M98*0.1,0)</f>
        <v>10500</v>
      </c>
      <c r="Q98" s="6">
        <f>M98+N98+O98+P98</f>
        <v>115500</v>
      </c>
      <c r="R98" s="2"/>
    </row>
    <row r="99" spans="1:18" ht="28.35">
      <c r="A99" s="2" t="s">
        <v>411</v>
      </c>
      <c r="B99" s="2" t="s">
        <v>412</v>
      </c>
      <c r="C99" s="2" t="s">
        <v>370</v>
      </c>
      <c r="D99" s="2" t="s">
        <v>413</v>
      </c>
      <c r="E99" s="2" t="s">
        <v>414</v>
      </c>
      <c r="F99" s="2" t="s">
        <v>415</v>
      </c>
      <c r="G99" s="2" t="s">
        <v>415</v>
      </c>
      <c r="H99" s="3" t="s">
        <v>27</v>
      </c>
      <c r="I99" s="4">
        <v>46350</v>
      </c>
      <c r="J99" s="4">
        <v>46350</v>
      </c>
      <c r="K99" s="3">
        <v>6</v>
      </c>
      <c r="L99" s="5">
        <v>35000</v>
      </c>
      <c r="M99" s="6">
        <f>K99*L99</f>
        <v>210000</v>
      </c>
      <c r="N99" s="5">
        <v>0</v>
      </c>
      <c r="O99" s="5">
        <v>0</v>
      </c>
      <c r="P99" s="6">
        <f>ROUND(M99*0.1,0)</f>
        <v>21000</v>
      </c>
      <c r="Q99" s="6">
        <f>M99+N99+O99+P99</f>
        <v>231000</v>
      </c>
      <c r="R99" s="2"/>
    </row>
    <row r="100" spans="1:18" ht="28.35">
      <c r="A100" s="2" t="s">
        <v>416</v>
      </c>
      <c r="B100" s="2" t="s">
        <v>417</v>
      </c>
      <c r="C100" s="2" t="s">
        <v>370</v>
      </c>
      <c r="D100" s="2" t="s">
        <v>418</v>
      </c>
      <c r="E100" s="2" t="s">
        <v>419</v>
      </c>
      <c r="F100" s="2" t="s">
        <v>420</v>
      </c>
      <c r="G100" s="2" t="s">
        <v>420</v>
      </c>
      <c r="H100" s="3" t="s">
        <v>27</v>
      </c>
      <c r="I100" s="4">
        <v>46351</v>
      </c>
      <c r="J100" s="4">
        <v>46351</v>
      </c>
      <c r="K100" s="3">
        <v>4</v>
      </c>
      <c r="L100" s="5">
        <v>35000</v>
      </c>
      <c r="M100" s="6">
        <f>K100*L100</f>
        <v>140000</v>
      </c>
      <c r="N100" s="5">
        <v>0</v>
      </c>
      <c r="O100" s="5">
        <v>0</v>
      </c>
      <c r="P100" s="6">
        <f>ROUND(M100*0.1,0)</f>
        <v>14000</v>
      </c>
      <c r="Q100" s="6">
        <f>M100+N100+O100+P100</f>
        <v>154000</v>
      </c>
      <c r="R100" s="2"/>
    </row>
    <row r="101" spans="1:18">
      <c r="A101" s="12" t="s">
        <v>421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 spans="1:18" ht="68.650000000000006">
      <c r="A102" s="2" t="s">
        <v>422</v>
      </c>
      <c r="B102" s="2" t="s">
        <v>423</v>
      </c>
      <c r="C102" s="2" t="s">
        <v>424</v>
      </c>
      <c r="D102" s="2" t="s">
        <v>425</v>
      </c>
      <c r="E102" s="2" t="s">
        <v>426</v>
      </c>
      <c r="F102" s="2" t="s">
        <v>175</v>
      </c>
      <c r="G102" s="2" t="s">
        <v>175</v>
      </c>
      <c r="H102" s="3" t="s">
        <v>27</v>
      </c>
      <c r="I102" s="4">
        <v>46352</v>
      </c>
      <c r="J102" s="4">
        <v>46352</v>
      </c>
      <c r="K102" s="3">
        <v>6</v>
      </c>
      <c r="L102" s="5">
        <v>35000</v>
      </c>
      <c r="M102" s="6">
        <f>K102*L102</f>
        <v>210000</v>
      </c>
      <c r="N102" s="5">
        <v>100000</v>
      </c>
      <c r="O102" s="5">
        <v>0</v>
      </c>
      <c r="P102" s="6">
        <f>ROUND(M102*0.1,0)</f>
        <v>21000</v>
      </c>
      <c r="Q102" s="6">
        <f>M102+N102+O102+P102</f>
        <v>331000</v>
      </c>
      <c r="R102" s="2" t="s">
        <v>427</v>
      </c>
    </row>
    <row r="103" spans="1:18" ht="28.35">
      <c r="A103" s="2" t="s">
        <v>428</v>
      </c>
      <c r="B103" s="2" t="s">
        <v>429</v>
      </c>
      <c r="C103" s="2" t="s">
        <v>424</v>
      </c>
      <c r="D103" s="2" t="s">
        <v>430</v>
      </c>
      <c r="E103" s="2" t="s">
        <v>431</v>
      </c>
      <c r="F103" s="2" t="s">
        <v>25</v>
      </c>
      <c r="G103" s="2" t="s">
        <v>25</v>
      </c>
      <c r="H103" s="3" t="s">
        <v>27</v>
      </c>
      <c r="I103" s="4">
        <v>46353</v>
      </c>
      <c r="J103" s="4">
        <v>46353</v>
      </c>
      <c r="K103" s="3">
        <v>4</v>
      </c>
      <c r="L103" s="5">
        <v>35000</v>
      </c>
      <c r="M103" s="6">
        <f>K103*L103</f>
        <v>140000</v>
      </c>
      <c r="N103" s="5">
        <v>0</v>
      </c>
      <c r="O103" s="5">
        <v>0</v>
      </c>
      <c r="P103" s="6">
        <f>ROUND(M103*0.1,0)</f>
        <v>14000</v>
      </c>
      <c r="Q103" s="6">
        <f>M103+N103+O103+P103</f>
        <v>154000</v>
      </c>
      <c r="R103" s="2"/>
    </row>
    <row r="104" spans="1:18">
      <c r="A104" s="12" t="s">
        <v>432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 spans="1:18" ht="28.35">
      <c r="A105" s="2" t="s">
        <v>433</v>
      </c>
      <c r="B105" s="2" t="s">
        <v>434</v>
      </c>
      <c r="C105" s="2" t="s">
        <v>435</v>
      </c>
      <c r="D105" s="2" t="s">
        <v>436</v>
      </c>
      <c r="E105" s="2" t="s">
        <v>437</v>
      </c>
      <c r="F105" s="2" t="s">
        <v>25</v>
      </c>
      <c r="G105" s="2" t="s">
        <v>438</v>
      </c>
      <c r="H105" s="3" t="s">
        <v>27</v>
      </c>
      <c r="I105" s="4">
        <v>46260</v>
      </c>
      <c r="J105" s="4">
        <v>46353</v>
      </c>
      <c r="K105" s="3">
        <v>10</v>
      </c>
      <c r="L105" s="5">
        <v>35000</v>
      </c>
      <c r="M105" s="6">
        <f>K105*L105</f>
        <v>350000</v>
      </c>
      <c r="N105" s="5">
        <v>0</v>
      </c>
      <c r="O105" s="5">
        <v>0</v>
      </c>
      <c r="P105" s="6">
        <f>ROUND(M105*0.1,0)</f>
        <v>35000</v>
      </c>
      <c r="Q105" s="6">
        <f>M105+N105+O105+P105</f>
        <v>385000</v>
      </c>
      <c r="R105" s="2"/>
    </row>
    <row r="106" spans="1:18" ht="28.35">
      <c r="A106" s="2" t="s">
        <v>439</v>
      </c>
      <c r="B106" s="2" t="s">
        <v>440</v>
      </c>
      <c r="C106" s="2" t="s">
        <v>435</v>
      </c>
      <c r="D106" s="2" t="s">
        <v>441</v>
      </c>
      <c r="E106" s="2" t="s">
        <v>442</v>
      </c>
      <c r="F106" s="2" t="s">
        <v>25</v>
      </c>
      <c r="G106" s="2" t="s">
        <v>438</v>
      </c>
      <c r="H106" s="3" t="s">
        <v>27</v>
      </c>
      <c r="I106" s="4">
        <v>46260</v>
      </c>
      <c r="J106" s="4">
        <v>46351</v>
      </c>
      <c r="K106" s="3">
        <v>8</v>
      </c>
      <c r="L106" s="5">
        <v>35000</v>
      </c>
      <c r="M106" s="6">
        <f>K106*L106</f>
        <v>280000</v>
      </c>
      <c r="N106" s="5">
        <v>0</v>
      </c>
      <c r="O106" s="5">
        <v>0</v>
      </c>
      <c r="P106" s="6">
        <f>ROUND(M106*0.1,0)</f>
        <v>28000</v>
      </c>
      <c r="Q106" s="6">
        <f>M106+N106+O106+P106</f>
        <v>308000</v>
      </c>
      <c r="R106" s="2"/>
    </row>
    <row r="107" spans="1:18" ht="28.35">
      <c r="A107" s="2" t="s">
        <v>443</v>
      </c>
      <c r="B107" s="2" t="s">
        <v>444</v>
      </c>
      <c r="C107" s="2" t="s">
        <v>435</v>
      </c>
      <c r="D107" s="2" t="s">
        <v>445</v>
      </c>
      <c r="E107" s="2" t="s">
        <v>446</v>
      </c>
      <c r="F107" s="2" t="s">
        <v>25</v>
      </c>
      <c r="G107" s="2" t="s">
        <v>447</v>
      </c>
      <c r="H107" s="3" t="s">
        <v>27</v>
      </c>
      <c r="I107" s="4">
        <v>46356</v>
      </c>
      <c r="J107" s="4">
        <v>46356</v>
      </c>
      <c r="K107" s="3">
        <v>6</v>
      </c>
      <c r="L107" s="5">
        <v>35000</v>
      </c>
      <c r="M107" s="6">
        <f>K107*L107</f>
        <v>210000</v>
      </c>
      <c r="N107" s="5">
        <v>0</v>
      </c>
      <c r="O107" s="5">
        <v>0</v>
      </c>
      <c r="P107" s="6">
        <f>ROUND(M107*0.1,0)</f>
        <v>21000</v>
      </c>
      <c r="Q107" s="6">
        <f>M107+N107+O107+P107</f>
        <v>231000</v>
      </c>
      <c r="R107" s="2"/>
    </row>
    <row r="108" spans="1:18" ht="28.35">
      <c r="A108" s="2" t="s">
        <v>448</v>
      </c>
      <c r="B108" s="2" t="s">
        <v>449</v>
      </c>
      <c r="C108" s="2" t="s">
        <v>435</v>
      </c>
      <c r="D108" s="2" t="s">
        <v>450</v>
      </c>
      <c r="E108" s="2" t="s">
        <v>451</v>
      </c>
      <c r="F108" s="2" t="s">
        <v>25</v>
      </c>
      <c r="G108" s="2" t="s">
        <v>452</v>
      </c>
      <c r="H108" s="3" t="s">
        <v>27</v>
      </c>
      <c r="I108" s="4">
        <v>46357</v>
      </c>
      <c r="J108" s="4">
        <v>46357</v>
      </c>
      <c r="K108" s="3">
        <v>4</v>
      </c>
      <c r="L108" s="5">
        <v>35000</v>
      </c>
      <c r="M108" s="6">
        <f>K108*L108</f>
        <v>140000</v>
      </c>
      <c r="N108" s="5">
        <v>0</v>
      </c>
      <c r="O108" s="5">
        <v>0</v>
      </c>
      <c r="P108" s="6">
        <f>ROUND(M108*0.1,0)</f>
        <v>14000</v>
      </c>
      <c r="Q108" s="6">
        <f>M108+N108+O108+P108</f>
        <v>154000</v>
      </c>
      <c r="R108" s="2"/>
    </row>
    <row r="109" spans="1:18" ht="28.35">
      <c r="A109" s="2" t="s">
        <v>453</v>
      </c>
      <c r="B109" s="2" t="s">
        <v>454</v>
      </c>
      <c r="C109" s="2" t="s">
        <v>435</v>
      </c>
      <c r="D109" s="2" t="s">
        <v>455</v>
      </c>
      <c r="E109" s="2" t="s">
        <v>456</v>
      </c>
      <c r="F109" s="2" t="s">
        <v>25</v>
      </c>
      <c r="G109" s="2" t="s">
        <v>457</v>
      </c>
      <c r="H109" s="3" t="s">
        <v>27</v>
      </c>
      <c r="I109" s="4">
        <v>46358</v>
      </c>
      <c r="J109" s="4">
        <v>46358</v>
      </c>
      <c r="K109" s="3">
        <v>3</v>
      </c>
      <c r="L109" s="5">
        <v>35000</v>
      </c>
      <c r="M109" s="6">
        <f>K109*L109</f>
        <v>105000</v>
      </c>
      <c r="N109" s="5">
        <v>0</v>
      </c>
      <c r="O109" s="5">
        <v>0</v>
      </c>
      <c r="P109" s="6">
        <f>ROUND(M109*0.1,0)</f>
        <v>10500</v>
      </c>
      <c r="Q109" s="6">
        <f>M109+N109+O109+P109</f>
        <v>115500</v>
      </c>
      <c r="R109" s="2"/>
    </row>
    <row r="110" spans="1:18">
      <c r="A110" s="12" t="s">
        <v>458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 spans="1:18" ht="28.35">
      <c r="A111" s="2" t="s">
        <v>459</v>
      </c>
      <c r="B111" s="2" t="s">
        <v>460</v>
      </c>
      <c r="C111" s="2" t="s">
        <v>461</v>
      </c>
      <c r="D111" s="2" t="s">
        <v>462</v>
      </c>
      <c r="E111" s="2" t="s">
        <v>463</v>
      </c>
      <c r="F111" s="2" t="s">
        <v>25</v>
      </c>
      <c r="G111" s="2" t="s">
        <v>26</v>
      </c>
      <c r="H111" s="3" t="s">
        <v>27</v>
      </c>
      <c r="I111" s="4">
        <v>46358</v>
      </c>
      <c r="J111" s="4">
        <v>46358</v>
      </c>
      <c r="K111" s="3">
        <v>3</v>
      </c>
      <c r="L111" s="5">
        <v>35000</v>
      </c>
      <c r="M111" s="6">
        <f>K111*L111</f>
        <v>105000</v>
      </c>
      <c r="N111" s="5">
        <v>0</v>
      </c>
      <c r="O111" s="5">
        <v>0</v>
      </c>
      <c r="P111" s="6">
        <f>ROUND(M111*0.1,0)</f>
        <v>10500</v>
      </c>
      <c r="Q111" s="6">
        <f>M111+N111+O111+P111</f>
        <v>115500</v>
      </c>
      <c r="R111" s="2"/>
    </row>
    <row r="112" spans="1:18" ht="28.35">
      <c r="A112" s="2" t="s">
        <v>464</v>
      </c>
      <c r="B112" s="2" t="s">
        <v>465</v>
      </c>
      <c r="C112" s="2" t="s">
        <v>461</v>
      </c>
      <c r="D112" s="2" t="s">
        <v>466</v>
      </c>
      <c r="E112" s="2" t="s">
        <v>467</v>
      </c>
      <c r="F112" s="2" t="s">
        <v>87</v>
      </c>
      <c r="G112" s="2" t="s">
        <v>87</v>
      </c>
      <c r="H112" s="3" t="s">
        <v>27</v>
      </c>
      <c r="I112" s="4">
        <v>46358</v>
      </c>
      <c r="J112" s="4">
        <v>46358</v>
      </c>
      <c r="K112" s="3">
        <v>4</v>
      </c>
      <c r="L112" s="5">
        <v>35000</v>
      </c>
      <c r="M112" s="6">
        <f>K112*L112</f>
        <v>140000</v>
      </c>
      <c r="N112" s="5">
        <v>0</v>
      </c>
      <c r="O112" s="5">
        <v>0</v>
      </c>
      <c r="P112" s="6">
        <f>ROUND(M112*0.1,0)</f>
        <v>14000</v>
      </c>
      <c r="Q112" s="6">
        <f>M112+N112+O112+P112</f>
        <v>154000</v>
      </c>
      <c r="R112" s="2"/>
    </row>
    <row r="113" spans="1:18" ht="28.35">
      <c r="A113" s="2" t="s">
        <v>468</v>
      </c>
      <c r="B113" s="2" t="s">
        <v>469</v>
      </c>
      <c r="C113" s="2" t="s">
        <v>461</v>
      </c>
      <c r="D113" s="2" t="s">
        <v>470</v>
      </c>
      <c r="E113" s="2" t="s">
        <v>471</v>
      </c>
      <c r="F113" s="2" t="s">
        <v>121</v>
      </c>
      <c r="G113" s="2" t="s">
        <v>121</v>
      </c>
      <c r="H113" s="3" t="s">
        <v>27</v>
      </c>
      <c r="I113" s="4">
        <v>46359</v>
      </c>
      <c r="J113" s="4">
        <v>46359</v>
      </c>
      <c r="K113" s="3">
        <v>4</v>
      </c>
      <c r="L113" s="5">
        <v>35000</v>
      </c>
      <c r="M113" s="6">
        <f>K113*L113</f>
        <v>140000</v>
      </c>
      <c r="N113" s="5">
        <v>0</v>
      </c>
      <c r="O113" s="5">
        <v>0</v>
      </c>
      <c r="P113" s="6">
        <f>ROUND(M113*0.1,0)</f>
        <v>14000</v>
      </c>
      <c r="Q113" s="6">
        <f>M113+N113+O113+P113</f>
        <v>154000</v>
      </c>
      <c r="R113" s="2"/>
    </row>
    <row r="114" spans="1:18" ht="28.35">
      <c r="A114" s="2" t="s">
        <v>472</v>
      </c>
      <c r="B114" s="2" t="s">
        <v>473</v>
      </c>
      <c r="C114" s="2" t="s">
        <v>461</v>
      </c>
      <c r="D114" s="2" t="s">
        <v>474</v>
      </c>
      <c r="E114" s="2" t="s">
        <v>475</v>
      </c>
      <c r="F114" s="2" t="s">
        <v>121</v>
      </c>
      <c r="G114" s="2" t="s">
        <v>121</v>
      </c>
      <c r="H114" s="3" t="s">
        <v>27</v>
      </c>
      <c r="I114" s="4">
        <v>46360</v>
      </c>
      <c r="J114" s="4">
        <v>46360</v>
      </c>
      <c r="K114" s="3">
        <v>4</v>
      </c>
      <c r="L114" s="5">
        <v>35000</v>
      </c>
      <c r="M114" s="6">
        <f>K114*L114</f>
        <v>140000</v>
      </c>
      <c r="N114" s="5">
        <v>0</v>
      </c>
      <c r="O114" s="5">
        <v>0</v>
      </c>
      <c r="P114" s="6">
        <f>ROUND(M114*0.1,0)</f>
        <v>14000</v>
      </c>
      <c r="Q114" s="6">
        <f>M114+N114+O114+P114</f>
        <v>154000</v>
      </c>
      <c r="R114" s="2"/>
    </row>
    <row r="115" spans="1:18" ht="28.35">
      <c r="A115" s="2" t="s">
        <v>476</v>
      </c>
      <c r="B115" s="2" t="s">
        <v>477</v>
      </c>
      <c r="C115" s="2" t="s">
        <v>461</v>
      </c>
      <c r="D115" s="2" t="s">
        <v>478</v>
      </c>
      <c r="E115" s="2" t="s">
        <v>479</v>
      </c>
      <c r="F115" s="2" t="s">
        <v>147</v>
      </c>
      <c r="G115" s="2" t="s">
        <v>147</v>
      </c>
      <c r="H115" s="3" t="s">
        <v>27</v>
      </c>
      <c r="I115" s="4">
        <v>46363</v>
      </c>
      <c r="J115" s="4">
        <v>46363</v>
      </c>
      <c r="K115" s="3">
        <v>4</v>
      </c>
      <c r="L115" s="5">
        <v>35000</v>
      </c>
      <c r="M115" s="6">
        <f>K115*L115</f>
        <v>140000</v>
      </c>
      <c r="N115" s="5">
        <v>0</v>
      </c>
      <c r="O115" s="5">
        <v>0</v>
      </c>
      <c r="P115" s="6">
        <f>ROUND(M115*0.1,0)</f>
        <v>14000</v>
      </c>
      <c r="Q115" s="6">
        <f>M115+N115+O115+P115</f>
        <v>154000</v>
      </c>
      <c r="R115" s="2"/>
    </row>
    <row r="116" spans="1:18" ht="28.35">
      <c r="A116" s="2" t="s">
        <v>480</v>
      </c>
      <c r="B116" s="2" t="s">
        <v>481</v>
      </c>
      <c r="C116" s="2" t="s">
        <v>461</v>
      </c>
      <c r="D116" s="2" t="s">
        <v>482</v>
      </c>
      <c r="E116" s="2" t="s">
        <v>483</v>
      </c>
      <c r="F116" s="2" t="s">
        <v>25</v>
      </c>
      <c r="G116" s="2" t="s">
        <v>25</v>
      </c>
      <c r="H116" s="3" t="s">
        <v>27</v>
      </c>
      <c r="I116" s="4">
        <v>46364</v>
      </c>
      <c r="J116" s="4">
        <v>46364</v>
      </c>
      <c r="K116" s="3">
        <v>5</v>
      </c>
      <c r="L116" s="5">
        <v>35000</v>
      </c>
      <c r="M116" s="6">
        <f>K116*L116</f>
        <v>175000</v>
      </c>
      <c r="N116" s="5">
        <v>0</v>
      </c>
      <c r="O116" s="5">
        <v>0</v>
      </c>
      <c r="P116" s="6">
        <f>ROUND(M116*0.1,0)</f>
        <v>17500</v>
      </c>
      <c r="Q116" s="6">
        <f>M116+N116+O116+P116</f>
        <v>192500</v>
      </c>
      <c r="R116" s="2"/>
    </row>
    <row r="117" spans="1:18" ht="41.85">
      <c r="A117" s="2" t="s">
        <v>484</v>
      </c>
      <c r="B117" s="2" t="s">
        <v>485</v>
      </c>
      <c r="C117" s="2" t="s">
        <v>461</v>
      </c>
      <c r="D117" s="2" t="s">
        <v>486</v>
      </c>
      <c r="E117" s="2" t="s">
        <v>487</v>
      </c>
      <c r="F117" s="2" t="s">
        <v>166</v>
      </c>
      <c r="G117" s="2" t="s">
        <v>166</v>
      </c>
      <c r="H117" s="3" t="s">
        <v>27</v>
      </c>
      <c r="I117" s="4">
        <v>46365</v>
      </c>
      <c r="J117" s="4">
        <v>46365</v>
      </c>
      <c r="K117" s="3">
        <v>6</v>
      </c>
      <c r="L117" s="5">
        <v>35000</v>
      </c>
      <c r="M117" s="6">
        <f>K117*L117</f>
        <v>210000</v>
      </c>
      <c r="N117" s="5">
        <v>50000</v>
      </c>
      <c r="O117" s="5">
        <v>0</v>
      </c>
      <c r="P117" s="6">
        <f>ROUND(M117*0.1,0)</f>
        <v>21000</v>
      </c>
      <c r="Q117" s="6">
        <f>M117+N117+O117+P117</f>
        <v>281000</v>
      </c>
      <c r="R117" s="2" t="s">
        <v>488</v>
      </c>
    </row>
    <row r="118" spans="1:18" ht="28.35">
      <c r="A118" s="2" t="s">
        <v>489</v>
      </c>
      <c r="B118" s="2" t="s">
        <v>490</v>
      </c>
      <c r="C118" s="2" t="s">
        <v>461</v>
      </c>
      <c r="D118" s="2" t="s">
        <v>491</v>
      </c>
      <c r="E118" s="2" t="s">
        <v>492</v>
      </c>
      <c r="F118" s="2" t="s">
        <v>362</v>
      </c>
      <c r="G118" s="2" t="s">
        <v>362</v>
      </c>
      <c r="H118" s="3" t="s">
        <v>27</v>
      </c>
      <c r="I118" s="4">
        <v>46366</v>
      </c>
      <c r="J118" s="4">
        <v>46366</v>
      </c>
      <c r="K118" s="3">
        <v>4</v>
      </c>
      <c r="L118" s="5">
        <v>35000</v>
      </c>
      <c r="M118" s="6">
        <f>K118*L118</f>
        <v>140000</v>
      </c>
      <c r="N118" s="5">
        <v>0</v>
      </c>
      <c r="O118" s="5">
        <v>0</v>
      </c>
      <c r="P118" s="6">
        <f>ROUND(M118*0.1,0)</f>
        <v>14000</v>
      </c>
      <c r="Q118" s="6">
        <f>M118+N118+O118+P118</f>
        <v>154000</v>
      </c>
      <c r="R118" s="2"/>
    </row>
    <row r="119" spans="1:18" ht="28.35">
      <c r="A119" s="2" t="s">
        <v>493</v>
      </c>
      <c r="B119" s="2" t="s">
        <v>494</v>
      </c>
      <c r="C119" s="2" t="s">
        <v>461</v>
      </c>
      <c r="D119" s="2" t="s">
        <v>495</v>
      </c>
      <c r="E119" s="2" t="s">
        <v>496</v>
      </c>
      <c r="F119" s="2" t="s">
        <v>25</v>
      </c>
      <c r="G119" s="2" t="s">
        <v>438</v>
      </c>
      <c r="H119" s="3" t="s">
        <v>27</v>
      </c>
      <c r="I119" s="4">
        <v>46367</v>
      </c>
      <c r="J119" s="4">
        <v>46367</v>
      </c>
      <c r="K119" s="3">
        <v>5</v>
      </c>
      <c r="L119" s="5">
        <v>35000</v>
      </c>
      <c r="M119" s="6">
        <f>K119*L119</f>
        <v>175000</v>
      </c>
      <c r="N119" s="5">
        <v>0</v>
      </c>
      <c r="O119" s="5">
        <v>0</v>
      </c>
      <c r="P119" s="6">
        <f>ROUND(M119*0.1,0)</f>
        <v>17500</v>
      </c>
      <c r="Q119" s="6">
        <f>M119+N119+O119+P119</f>
        <v>192500</v>
      </c>
      <c r="R119" s="2"/>
    </row>
    <row r="120" spans="1:18">
      <c r="A120" s="2" t="s">
        <v>497</v>
      </c>
      <c r="B120" s="2" t="s">
        <v>498</v>
      </c>
      <c r="C120" s="2" t="s">
        <v>461</v>
      </c>
      <c r="D120" s="2" t="s">
        <v>499</v>
      </c>
      <c r="E120" s="2" t="s">
        <v>500</v>
      </c>
      <c r="F120" s="2" t="s">
        <v>25</v>
      </c>
      <c r="G120" s="2" t="s">
        <v>447</v>
      </c>
      <c r="H120" s="3" t="s">
        <v>27</v>
      </c>
      <c r="I120" s="4">
        <v>46367</v>
      </c>
      <c r="J120" s="4">
        <v>46367</v>
      </c>
      <c r="K120" s="3">
        <v>2</v>
      </c>
      <c r="L120" s="5">
        <v>35000</v>
      </c>
      <c r="M120" s="6">
        <f>K120*L120</f>
        <v>70000</v>
      </c>
      <c r="N120" s="5">
        <v>0</v>
      </c>
      <c r="O120" s="5">
        <v>0</v>
      </c>
      <c r="P120" s="6">
        <f>ROUND(M120*0.1,0)</f>
        <v>7000</v>
      </c>
      <c r="Q120" s="6">
        <f>M120+N120+O120+P120</f>
        <v>77000</v>
      </c>
      <c r="R120" s="2"/>
    </row>
    <row r="121" spans="1:18">
      <c r="A121" s="7"/>
      <c r="B121" s="7"/>
      <c r="C121" s="7"/>
      <c r="D121" s="7" t="s">
        <v>501</v>
      </c>
      <c r="E121" s="7"/>
      <c r="F121" s="7"/>
      <c r="G121" s="7"/>
      <c r="H121" s="7"/>
      <c r="I121" s="7"/>
      <c r="J121" s="7"/>
      <c r="K121" s="7">
        <f>SUM(K6:K8)</f>
        <v>12</v>
      </c>
      <c r="L121" s="7"/>
      <c r="M121" s="8">
        <f>SUM(M6:M8)</f>
        <v>420000</v>
      </c>
      <c r="N121" s="8">
        <f>SUM(N6:N8)</f>
        <v>0</v>
      </c>
      <c r="O121" s="8">
        <f>SUM(O6:O8)</f>
        <v>0</v>
      </c>
      <c r="P121" s="8">
        <f>SUM(P6:P8)</f>
        <v>42000</v>
      </c>
      <c r="Q121" s="8">
        <f>SUM(Q6:Q8)</f>
        <v>462000</v>
      </c>
      <c r="R121" s="7"/>
    </row>
    <row r="122" spans="1:18">
      <c r="A122" s="7"/>
      <c r="B122" s="7"/>
      <c r="C122" s="7"/>
      <c r="D122" s="7" t="s">
        <v>502</v>
      </c>
      <c r="E122" s="7"/>
      <c r="F122" s="7"/>
      <c r="G122" s="7"/>
      <c r="H122" s="7"/>
      <c r="I122" s="7"/>
      <c r="J122" s="7"/>
      <c r="K122" s="7">
        <f>SUM(K10:K19)</f>
        <v>41</v>
      </c>
      <c r="L122" s="7"/>
      <c r="M122" s="8">
        <f>SUM(M10:M19)</f>
        <v>1435000</v>
      </c>
      <c r="N122" s="8">
        <f>SUM(N10:N19)</f>
        <v>0</v>
      </c>
      <c r="O122" s="8">
        <f>SUM(O10:O19)</f>
        <v>0</v>
      </c>
      <c r="P122" s="8">
        <f>SUM(P10:P19)</f>
        <v>143500</v>
      </c>
      <c r="Q122" s="8">
        <f>SUM(Q10:Q19)</f>
        <v>1578500</v>
      </c>
      <c r="R122" s="7"/>
    </row>
    <row r="123" spans="1:18">
      <c r="A123" s="7"/>
      <c r="B123" s="7"/>
      <c r="C123" s="7"/>
      <c r="D123" s="7" t="s">
        <v>503</v>
      </c>
      <c r="E123" s="7"/>
      <c r="F123" s="7"/>
      <c r="G123" s="7"/>
      <c r="H123" s="7"/>
      <c r="I123" s="7"/>
      <c r="J123" s="7"/>
      <c r="K123" s="7">
        <f>SUM(K21:K27)</f>
        <v>31</v>
      </c>
      <c r="L123" s="7"/>
      <c r="M123" s="8">
        <f>SUM(M21:M27)</f>
        <v>1085000</v>
      </c>
      <c r="N123" s="8">
        <f>SUM(N21:N27)</f>
        <v>0</v>
      </c>
      <c r="O123" s="8">
        <f>SUM(O21:O27)</f>
        <v>0</v>
      </c>
      <c r="P123" s="8">
        <f>SUM(P21:P27)</f>
        <v>108500</v>
      </c>
      <c r="Q123" s="8">
        <f>SUM(Q21:Q27)</f>
        <v>1193500</v>
      </c>
      <c r="R123" s="7"/>
    </row>
    <row r="124" spans="1:18">
      <c r="A124" s="7"/>
      <c r="B124" s="7"/>
      <c r="C124" s="7"/>
      <c r="D124" s="7" t="s">
        <v>504</v>
      </c>
      <c r="E124" s="7"/>
      <c r="F124" s="7"/>
      <c r="G124" s="7"/>
      <c r="H124" s="7"/>
      <c r="I124" s="7"/>
      <c r="J124" s="7"/>
      <c r="K124" s="7">
        <f>SUM(K29:K35)</f>
        <v>30</v>
      </c>
      <c r="L124" s="7"/>
      <c r="M124" s="8">
        <f>SUM(M29:M35)</f>
        <v>1050000</v>
      </c>
      <c r="N124" s="8">
        <f>SUM(N29:N35)</f>
        <v>0</v>
      </c>
      <c r="O124" s="8">
        <f>SUM(O29:O35)</f>
        <v>0</v>
      </c>
      <c r="P124" s="8">
        <f>SUM(P29:P35)</f>
        <v>105000</v>
      </c>
      <c r="Q124" s="8">
        <f>SUM(Q29:Q35)</f>
        <v>1155000</v>
      </c>
      <c r="R124" s="7"/>
    </row>
    <row r="125" spans="1:18">
      <c r="A125" s="7"/>
      <c r="B125" s="7"/>
      <c r="C125" s="7"/>
      <c r="D125" s="7" t="s">
        <v>505</v>
      </c>
      <c r="E125" s="7"/>
      <c r="F125" s="7"/>
      <c r="G125" s="7"/>
      <c r="H125" s="7"/>
      <c r="I125" s="7"/>
      <c r="J125" s="7"/>
      <c r="K125" s="7">
        <f>SUM(K37:K39)</f>
        <v>26</v>
      </c>
      <c r="L125" s="7"/>
      <c r="M125" s="8">
        <f>SUM(M37:M39)</f>
        <v>910000</v>
      </c>
      <c r="N125" s="8">
        <f>SUM(N37:N39)</f>
        <v>0</v>
      </c>
      <c r="O125" s="8">
        <f>SUM(O37:O39)</f>
        <v>60000</v>
      </c>
      <c r="P125" s="8">
        <f>SUM(P37:P39)</f>
        <v>91000</v>
      </c>
      <c r="Q125" s="8">
        <f>SUM(Q37:Q39)</f>
        <v>1061000</v>
      </c>
      <c r="R125" s="7"/>
    </row>
    <row r="126" spans="1:18">
      <c r="A126" s="7"/>
      <c r="B126" s="7"/>
      <c r="C126" s="7"/>
      <c r="D126" s="7" t="s">
        <v>506</v>
      </c>
      <c r="E126" s="7"/>
      <c r="F126" s="7"/>
      <c r="G126" s="7"/>
      <c r="H126" s="7"/>
      <c r="I126" s="7"/>
      <c r="J126" s="7"/>
      <c r="K126" s="7">
        <f>SUM(K41:K45)</f>
        <v>18</v>
      </c>
      <c r="L126" s="7"/>
      <c r="M126" s="8">
        <f>SUM(M41:M45)</f>
        <v>630000</v>
      </c>
      <c r="N126" s="8">
        <f>SUM(N41:N45)</f>
        <v>0</v>
      </c>
      <c r="O126" s="8">
        <f>SUM(O41:O45)</f>
        <v>40000</v>
      </c>
      <c r="P126" s="8">
        <f>SUM(P41:P45)</f>
        <v>63000</v>
      </c>
      <c r="Q126" s="8">
        <f>SUM(Q41:Q45)</f>
        <v>733000</v>
      </c>
      <c r="R126" s="7"/>
    </row>
    <row r="127" spans="1:18">
      <c r="A127" s="7"/>
      <c r="B127" s="7"/>
      <c r="C127" s="7"/>
      <c r="D127" s="7" t="s">
        <v>507</v>
      </c>
      <c r="E127" s="7"/>
      <c r="F127" s="7"/>
      <c r="G127" s="7"/>
      <c r="H127" s="7"/>
      <c r="I127" s="7"/>
      <c r="J127" s="7"/>
      <c r="K127" s="7">
        <f>SUM(K47:K79)</f>
        <v>159</v>
      </c>
      <c r="L127" s="7"/>
      <c r="M127" s="8">
        <f>SUM(M47:M79)</f>
        <v>5565000</v>
      </c>
      <c r="N127" s="8">
        <f>SUM(N47:N79)</f>
        <v>0</v>
      </c>
      <c r="O127" s="8">
        <f>SUM(O47:O79)</f>
        <v>0</v>
      </c>
      <c r="P127" s="8">
        <f>SUM(P47:P79)</f>
        <v>556500</v>
      </c>
      <c r="Q127" s="8">
        <f>SUM(Q47:Q79)</f>
        <v>6121500</v>
      </c>
      <c r="R127" s="7"/>
    </row>
    <row r="128" spans="1:18">
      <c r="A128" s="7"/>
      <c r="B128" s="7"/>
      <c r="C128" s="7"/>
      <c r="D128" s="7" t="s">
        <v>508</v>
      </c>
      <c r="E128" s="7"/>
      <c r="F128" s="7"/>
      <c r="G128" s="7"/>
      <c r="H128" s="7"/>
      <c r="I128" s="7"/>
      <c r="J128" s="7"/>
      <c r="K128" s="7">
        <f>SUM(K81:K87)</f>
        <v>37</v>
      </c>
      <c r="L128" s="7"/>
      <c r="M128" s="8">
        <f>SUM(M81:M87)</f>
        <v>1295000</v>
      </c>
      <c r="N128" s="8">
        <f>SUM(N81:N87)</f>
        <v>0</v>
      </c>
      <c r="O128" s="8">
        <f>SUM(O81:O87)</f>
        <v>0</v>
      </c>
      <c r="P128" s="8">
        <f>SUM(P81:P87)</f>
        <v>129500</v>
      </c>
      <c r="Q128" s="8">
        <f>SUM(Q81:Q87)</f>
        <v>1424500</v>
      </c>
      <c r="R128" s="7"/>
    </row>
    <row r="129" spans="1:18">
      <c r="A129" s="7"/>
      <c r="B129" s="7"/>
      <c r="C129" s="7"/>
      <c r="D129" s="7" t="s">
        <v>509</v>
      </c>
      <c r="E129" s="7"/>
      <c r="F129" s="7"/>
      <c r="G129" s="7"/>
      <c r="H129" s="7"/>
      <c r="I129" s="7"/>
      <c r="J129" s="7"/>
      <c r="K129" s="7">
        <f>SUM(K89:K100)</f>
        <v>41</v>
      </c>
      <c r="L129" s="7"/>
      <c r="M129" s="8">
        <f>SUM(M89:M100)</f>
        <v>1435000</v>
      </c>
      <c r="N129" s="8">
        <f>SUM(N89:N100)</f>
        <v>0</v>
      </c>
      <c r="O129" s="8">
        <f>SUM(O89:O100)</f>
        <v>20000</v>
      </c>
      <c r="P129" s="8">
        <f>SUM(P89:P100)</f>
        <v>143500</v>
      </c>
      <c r="Q129" s="8">
        <f>SUM(Q89:Q100)</f>
        <v>1598500</v>
      </c>
      <c r="R129" s="7"/>
    </row>
    <row r="130" spans="1:18">
      <c r="A130" s="7"/>
      <c r="B130" s="7"/>
      <c r="C130" s="7"/>
      <c r="D130" s="7" t="s">
        <v>510</v>
      </c>
      <c r="E130" s="7"/>
      <c r="F130" s="7"/>
      <c r="G130" s="7"/>
      <c r="H130" s="7"/>
      <c r="I130" s="7"/>
      <c r="J130" s="7"/>
      <c r="K130" s="7">
        <f>SUM(K102:K103)</f>
        <v>10</v>
      </c>
      <c r="L130" s="7"/>
      <c r="M130" s="8">
        <f>SUM(M102:M103)</f>
        <v>350000</v>
      </c>
      <c r="N130" s="8">
        <f>SUM(N102:N103)</f>
        <v>100000</v>
      </c>
      <c r="O130" s="8">
        <f>SUM(O102:O103)</f>
        <v>0</v>
      </c>
      <c r="P130" s="8">
        <f>SUM(P102:P103)</f>
        <v>35000</v>
      </c>
      <c r="Q130" s="8">
        <f>SUM(Q102:Q103)</f>
        <v>485000</v>
      </c>
      <c r="R130" s="7"/>
    </row>
    <row r="131" spans="1:18">
      <c r="A131" s="7"/>
      <c r="B131" s="7"/>
      <c r="C131" s="7"/>
      <c r="D131" s="7" t="s">
        <v>511</v>
      </c>
      <c r="E131" s="7"/>
      <c r="F131" s="7"/>
      <c r="G131" s="7"/>
      <c r="H131" s="7"/>
      <c r="I131" s="7"/>
      <c r="J131" s="7"/>
      <c r="K131" s="7">
        <f>SUM(K105:K109)</f>
        <v>31</v>
      </c>
      <c r="L131" s="7"/>
      <c r="M131" s="8">
        <f>SUM(M105:M109)</f>
        <v>1085000</v>
      </c>
      <c r="N131" s="8">
        <f>SUM(N105:N109)</f>
        <v>0</v>
      </c>
      <c r="O131" s="8">
        <f>SUM(O105:O109)</f>
        <v>0</v>
      </c>
      <c r="P131" s="8">
        <f>SUM(P105:P109)</f>
        <v>108500</v>
      </c>
      <c r="Q131" s="8">
        <f>SUM(Q105:Q109)</f>
        <v>1193500</v>
      </c>
      <c r="R131" s="7"/>
    </row>
    <row r="132" spans="1:18">
      <c r="A132" s="7"/>
      <c r="B132" s="7"/>
      <c r="C132" s="7"/>
      <c r="D132" s="7" t="s">
        <v>512</v>
      </c>
      <c r="E132" s="7"/>
      <c r="F132" s="7"/>
      <c r="G132" s="7"/>
      <c r="H132" s="7"/>
      <c r="I132" s="7"/>
      <c r="J132" s="7"/>
      <c r="K132" s="7">
        <f>SUM(K111:K120)</f>
        <v>41</v>
      </c>
      <c r="L132" s="7"/>
      <c r="M132" s="8">
        <f>SUM(M111:M120)</f>
        <v>1435000</v>
      </c>
      <c r="N132" s="8">
        <f>SUM(N111:N120)</f>
        <v>50000</v>
      </c>
      <c r="O132" s="8">
        <f>SUM(O111:O120)</f>
        <v>0</v>
      </c>
      <c r="P132" s="8">
        <f>SUM(P111:P120)</f>
        <v>143500</v>
      </c>
      <c r="Q132" s="8">
        <f>SUM(Q111:Q120)</f>
        <v>1628500</v>
      </c>
      <c r="R132" s="7"/>
    </row>
    <row r="134" spans="1:18">
      <c r="A134" s="9"/>
      <c r="B134" s="9"/>
      <c r="C134" s="9"/>
      <c r="D134" s="9" t="s">
        <v>513</v>
      </c>
      <c r="E134" s="9"/>
      <c r="F134" s="9"/>
      <c r="G134" s="9"/>
      <c r="H134" s="9"/>
      <c r="I134" s="9"/>
      <c r="J134" s="9"/>
      <c r="K134" s="9">
        <f>K121+K122+K123+K124+K125+K126+K127+K128+K129+K130+K131+K132</f>
        <v>477</v>
      </c>
      <c r="L134" s="9"/>
      <c r="M134" s="10">
        <f>M121+M122+M123+M124+M125+M126+M127+M128+M129+M130+M131+M132</f>
        <v>16695000</v>
      </c>
      <c r="N134" s="10">
        <f>N121+N122+N123+N124+N125+N126+N127+N128+N129+N130+N131+N132</f>
        <v>150000</v>
      </c>
      <c r="O134" s="10">
        <f>O121+O122+O123+O124+O125+O126+O127+O128+O129+O130+O131+O132</f>
        <v>120000</v>
      </c>
      <c r="P134" s="10">
        <f>P121+P122+P123+P124+P125+P126+P127+P128+P129+P130+P131+P132</f>
        <v>1669500</v>
      </c>
      <c r="Q134" s="10">
        <f>Q121+Q122+Q123+Q124+Q125+Q126+Q127+Q128+Q129+Q130+Q131+Q132</f>
        <v>18634500</v>
      </c>
      <c r="R134" s="9"/>
    </row>
  </sheetData>
  <mergeCells count="14">
    <mergeCell ref="A1:D1"/>
    <mergeCell ref="A2:R2"/>
    <mergeCell ref="A5:R5"/>
    <mergeCell ref="A9:R9"/>
    <mergeCell ref="A20:R20"/>
    <mergeCell ref="A88:R88"/>
    <mergeCell ref="A101:R101"/>
    <mergeCell ref="A104:R104"/>
    <mergeCell ref="A110:R110"/>
    <mergeCell ref="A28:R28"/>
    <mergeCell ref="A36:R36"/>
    <mergeCell ref="A40:R40"/>
    <mergeCell ref="A46:R46"/>
    <mergeCell ref="A80:R8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'listas desplegables'!$F$2:$F$8</xm:f>
          </x14:formula1>
          <x14:formula2>
            <xm:f>0</xm:f>
          </x14:formula2>
          <xm:sqref>H5:H134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8"/>
  <sheetViews>
    <sheetView zoomScaleNormal="100" workbookViewId="0"/>
  </sheetViews>
  <sheetFormatPr defaultColWidth="8.7109375" defaultRowHeight="15"/>
  <sheetData>
    <row r="1" spans="2:6">
      <c r="B1" t="s">
        <v>514</v>
      </c>
      <c r="D1" t="s">
        <v>515</v>
      </c>
      <c r="F1" t="s">
        <v>516</v>
      </c>
    </row>
    <row r="2" spans="2:6">
      <c r="B2" t="s">
        <v>517</v>
      </c>
      <c r="D2" t="s">
        <v>518</v>
      </c>
      <c r="F2" t="s">
        <v>27</v>
      </c>
    </row>
    <row r="3" spans="2:6">
      <c r="B3" t="s">
        <v>519</v>
      </c>
      <c r="D3" t="s">
        <v>520</v>
      </c>
      <c r="F3" t="s">
        <v>521</v>
      </c>
    </row>
    <row r="4" spans="2:6">
      <c r="D4" t="s">
        <v>522</v>
      </c>
      <c r="F4" t="s">
        <v>523</v>
      </c>
    </row>
    <row r="5" spans="2:6">
      <c r="F5" t="s">
        <v>524</v>
      </c>
    </row>
    <row r="6" spans="2:6">
      <c r="F6" t="s">
        <v>525</v>
      </c>
    </row>
    <row r="7" spans="2:6">
      <c r="F7" t="s">
        <v>526</v>
      </c>
    </row>
    <row r="8" spans="2:6">
      <c r="F8" t="s">
        <v>527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Normal="100" workbookViewId="0"/>
  </sheetViews>
  <sheetFormatPr defaultColWidth="8.7109375" defaultRowHeight="15"/>
  <cols>
    <col min="1" max="1" width="28" customWidth="1"/>
    <col min="2" max="3" width="55" customWidth="1"/>
  </cols>
  <sheetData>
    <row r="1" spans="1:4" ht="16.149999999999999">
      <c r="A1" s="15" t="s">
        <v>528</v>
      </c>
      <c r="B1" s="15"/>
      <c r="C1" s="15"/>
      <c r="D1" s="15"/>
    </row>
    <row r="3" spans="1:4">
      <c r="A3" s="11" t="s">
        <v>529</v>
      </c>
      <c r="B3" s="11" t="s">
        <v>530</v>
      </c>
      <c r="C3" s="11" t="s">
        <v>531</v>
      </c>
    </row>
    <row r="4" spans="1:4" ht="41.85">
      <c r="A4" s="2" t="s">
        <v>532</v>
      </c>
      <c r="B4" s="2" t="s">
        <v>533</v>
      </c>
      <c r="C4" s="2" t="s">
        <v>534</v>
      </c>
    </row>
    <row r="5" spans="1:4" ht="28.35">
      <c r="A5" s="2" t="s">
        <v>535</v>
      </c>
      <c r="B5" s="2" t="s">
        <v>536</v>
      </c>
      <c r="C5" s="2" t="s">
        <v>537</v>
      </c>
    </row>
    <row r="6" spans="1:4" ht="82.15">
      <c r="A6" s="2" t="s">
        <v>538</v>
      </c>
      <c r="B6" s="2" t="s">
        <v>539</v>
      </c>
      <c r="C6" s="2" t="s">
        <v>540</v>
      </c>
    </row>
    <row r="7" spans="1:4" ht="55.15">
      <c r="A7" s="2" t="s">
        <v>11</v>
      </c>
      <c r="B7" s="2" t="s">
        <v>541</v>
      </c>
      <c r="C7" s="2" t="s">
        <v>542</v>
      </c>
    </row>
    <row r="8" spans="1:4" ht="41.85">
      <c r="A8" s="2" t="s">
        <v>543</v>
      </c>
      <c r="B8" s="2" t="s">
        <v>544</v>
      </c>
      <c r="C8" s="2" t="s">
        <v>545</v>
      </c>
    </row>
    <row r="9" spans="1:4" ht="28.35">
      <c r="A9" s="2" t="s">
        <v>546</v>
      </c>
      <c r="B9" s="2" t="s">
        <v>547</v>
      </c>
      <c r="C9" s="2" t="s">
        <v>548</v>
      </c>
    </row>
    <row r="10" spans="1:4" ht="28.35">
      <c r="A10" s="2" t="s">
        <v>549</v>
      </c>
      <c r="B10" s="2" t="s">
        <v>550</v>
      </c>
      <c r="C10" s="2" t="s">
        <v>551</v>
      </c>
    </row>
    <row r="11" spans="1:4" ht="55.15">
      <c r="A11" s="2" t="s">
        <v>552</v>
      </c>
      <c r="B11" s="2" t="s">
        <v>553</v>
      </c>
      <c r="C11" s="2" t="s">
        <v>554</v>
      </c>
    </row>
    <row r="12" spans="1:4" ht="41.85">
      <c r="A12" s="2" t="s">
        <v>555</v>
      </c>
      <c r="B12" s="2" t="s">
        <v>556</v>
      </c>
      <c r="C12" s="2" t="s">
        <v>557</v>
      </c>
    </row>
    <row r="13" spans="1:4" ht="41.85">
      <c r="A13" s="2" t="s">
        <v>558</v>
      </c>
      <c r="B13" s="2" t="s">
        <v>559</v>
      </c>
      <c r="C13" s="2" t="s">
        <v>560</v>
      </c>
    </row>
    <row r="14" spans="1:4" ht="68.650000000000006">
      <c r="A14" s="2" t="s">
        <v>561</v>
      </c>
      <c r="B14" s="2" t="s">
        <v>562</v>
      </c>
      <c r="C14" s="2" t="s">
        <v>563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2026-08-27T22:41:57Z</dcterms:created>
  <dcterms:modified xsi:type="dcterms:W3CDTF">2026-08-27T23:39:55Z</dcterms:modified>
  <cp:category/>
  <cp:contentStatus/>
</cp:coreProperties>
</file>