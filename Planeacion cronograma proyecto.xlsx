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cion" sheetId="1" r:id="rId5"/>
  </sheets>
  <definedNames/>
  <calcPr/>
</workbook>
</file>

<file path=xl/sharedStrings.xml><?xml version="1.0" encoding="utf-8"?>
<sst xmlns="http://schemas.openxmlformats.org/spreadsheetml/2006/main" count="79" uniqueCount="50">
  <si>
    <t>Nombre del Proyecto</t>
  </si>
  <si>
    <t>Título del Proyecto</t>
  </si>
  <si>
    <t>Fecha inicio</t>
  </si>
  <si>
    <t>NurseNote</t>
  </si>
  <si>
    <t>Duracion del proyecto</t>
  </si>
  <si>
    <t>Gerente del Proyecto</t>
  </si>
  <si>
    <t>Fecha Fin</t>
  </si>
  <si>
    <t>en dias</t>
  </si>
  <si>
    <t>Rodríguez Sánchez Karol Michelle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</si>
  <si>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</si>
  <si>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</si>
  <si>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</si>
  <si>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</si>
  <si>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</si>
  <si>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</si>
  <si>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</si>
  <si>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</si>
  <si>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</si>
  <si>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 Iniciado</t>
  </si>
  <si>
    <t>Definición del Proyecto</t>
  </si>
  <si>
    <t>Completo</t>
  </si>
  <si>
    <t>Todo el equipo</t>
  </si>
  <si>
    <t>En progreso</t>
  </si>
  <si>
    <t>Identificar los interesados</t>
  </si>
  <si>
    <t>Levantamiento de requerimientos</t>
  </si>
  <si>
    <t>Definición y Planificación del Proyecto</t>
  </si>
  <si>
    <t>Establecer el alcance del proyecto</t>
  </si>
  <si>
    <t>Elaboración de la EDT</t>
  </si>
  <si>
    <t>Definir módulos principales de entrega</t>
  </si>
  <si>
    <t>Construcción del cronograma de actividades</t>
  </si>
  <si>
    <t>Asignación de responsabilidades por tarea</t>
  </si>
  <si>
    <t>Estimar recursos y necesidades</t>
  </si>
  <si>
    <t>Estimar costos y presupuestos</t>
  </si>
  <si>
    <t>Identificación de riesgos del proyecto</t>
  </si>
  <si>
    <t>Plan de mitigación de riesgos</t>
  </si>
  <si>
    <t>Planes de comunicación</t>
  </si>
  <si>
    <t>Lanzamiento y Ejecución del Proyecto</t>
  </si>
  <si>
    <t>Ejecucion de actividades planificadas en el cronograma</t>
  </si>
  <si>
    <t>Desempeño / Monitoreo del Proyecto</t>
  </si>
  <si>
    <t>Realizar seguimiento del avance del proyecto</t>
  </si>
  <si>
    <t>Rodríguez Sánchez Karol</t>
  </si>
  <si>
    <t>Control de Cambios y ajustes de alcanze</t>
  </si>
  <si>
    <t>Calidad de entrega</t>
  </si>
  <si>
    <t>Generar reportes del proceso</t>
  </si>
  <si>
    <t>Validacion de resutados con el cliente</t>
  </si>
  <si>
    <t>Cierre del Proyecto</t>
  </si>
  <si>
    <t>Documentacion de Lecciones aprendidas</t>
  </si>
  <si>
    <t>Elaboración del informe final</t>
  </si>
  <si>
    <t>Cierre del proyecto</t>
  </si>
  <si>
    <t>total de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</si>
</sst>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15">
    <font>
      <sz val="12.0"/>
      <color theme="1"/>
      <name val="Calibri"/>
      <scheme val="minor"/>
    </font>
    <font>
      <sz val="10.0"/>
      <color theme="1"/>
      <name val="Century Gothic"/>
    </font>
    <font>
      <b/>
      <sz val="28.0"/>
      <color rgb="FF001033"/>
      <name val="Century Gothic"/>
    </font>
    <font>
      <b/>
      <sz val="11.0"/>
      <color rgb="FF001033"/>
      <name val="Century Gothic"/>
    </font>
    <font>
      <b/>
      <sz val="10.0"/>
      <color rgb="FF001033"/>
      <name val="Century Gothic"/>
    </font>
    <font>
      <sz val="12.0"/>
      <color theme="0"/>
      <name val="Century Gothic"/>
    </font>
    <font>
      <b/>
      <sz val="10.0"/>
      <color theme="0"/>
      <name val="Century Gothic"/>
    </font>
    <font>
      <sz val="12.0"/>
      <color rgb="FFFFFFFF"/>
      <name val="Century Gothic"/>
    </font>
    <font>
      <sz val="10.0"/>
      <color theme="0"/>
      <name val="Century Gothic"/>
    </font>
    <font>
      <sz val="11.0"/>
      <color theme="1"/>
      <name val="Century Gothic"/>
    </font>
    <font>
      <sz val="10.0"/>
      <color rgb="FF000000"/>
      <name val="Century Gothic"/>
    </font>
    <font>
      <color theme="1"/>
      <name val="Calibri"/>
      <scheme val="minor"/>
    </font>
    <font>
      <sz val="12.0"/>
      <color rgb="FF000000"/>
      <name val="Century Gothic"/>
    </font>
    <font>
      <sz val="11.0"/>
      <color theme="1"/>
      <name val="Calibri"/>
      <scheme val="minor"/>
    </font>
    <font>
      <sz val="12.0"/>
      <color theme="1"/>
      <name val="Century Gothic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8496B0"/>
        <bgColor rgb="FF8496B0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007134"/>
        <bgColor rgb="FF007134"/>
      </patternFill>
    </fill>
    <fill>
      <patternFill patternType="solid">
        <fgColor rgb="FFE2EFD9"/>
        <bgColor rgb="FFE2EFD9"/>
      </patternFill>
    </fill>
    <fill>
      <patternFill patternType="solid">
        <fgColor rgb="FFBF9000"/>
        <bgColor rgb="FFBF9000"/>
      </patternFill>
    </fill>
    <fill>
      <patternFill patternType="solid">
        <fgColor rgb="FFFFF2CB"/>
        <bgColor rgb="FFFFF2C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</fills>
  <borders count="1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right/>
      <top style="medium">
        <color rgb="FF001033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1033"/>
      </bottom>
    </border>
    <border>
      <left style="medium">
        <color rgb="FF001033"/>
      </left>
      <right style="medium">
        <color rgb="FF001033"/>
      </right>
      <top style="medium">
        <color rgb="FF001033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001033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vertical="center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164" xfId="0" applyAlignment="1" applyBorder="1" applyFont="1" applyNumberFormat="1">
      <alignment horizontal="left" readingOrder="0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3" fontId="1" numFmtId="1" xfId="0" applyAlignment="1" applyBorder="1" applyFill="1" applyFont="1" applyNumberFormat="1">
      <alignment horizontal="left" shrinkToFit="0" vertical="center" wrapText="1"/>
    </xf>
    <xf borderId="3" fillId="2" fontId="1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left" shrinkToFit="0" vertical="center" wrapText="1"/>
    </xf>
    <xf borderId="6" fillId="5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horizontal="left" vertical="center"/>
    </xf>
    <xf borderId="7" fillId="6" fontId="6" numFmtId="0" xfId="0" applyAlignment="1" applyBorder="1" applyFill="1" applyFont="1">
      <alignment horizontal="left" shrinkToFit="0" vertical="center" wrapText="1"/>
    </xf>
    <xf borderId="7" fillId="6" fontId="7" numFmtId="164" xfId="0" applyAlignment="1" applyBorder="1" applyFill="1" applyFont="1" applyNumberFormat="1">
      <alignment horizontal="left" readingOrder="0" shrinkToFit="0" vertical="center" wrapText="1"/>
    </xf>
    <xf borderId="8" fillId="6" fontId="5" numFmtId="164" xfId="0" applyAlignment="1" applyBorder="1" applyFill="1" applyFont="1" applyNumberFormat="1">
      <alignment horizontal="left" shrinkToFit="0" vertical="center" wrapText="1"/>
    </xf>
    <xf borderId="7" fillId="6" fontId="5" numFmtId="1" xfId="0" applyAlignment="1" applyBorder="1" applyFill="1" applyFont="1" applyNumberForma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7" fontId="1" numFmtId="0" xfId="0" applyAlignment="1" applyBorder="1" applyFill="1" applyFont="1">
      <alignment horizontal="left" shrinkToFit="0" vertical="center" wrapText="1"/>
    </xf>
    <xf borderId="9" fillId="2" fontId="1" numFmtId="0" xfId="0" applyAlignment="1" applyBorder="1" applyFill="1" applyFont="1">
      <alignment horizontal="left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9" fillId="2" fontId="10" numFmtId="0" xfId="0" applyAlignment="1" applyBorder="1" applyFill="1" applyFont="1">
      <alignment horizontal="left" readingOrder="1" shrinkToFit="0" vertical="center" wrapText="1"/>
    </xf>
    <xf borderId="0" fillId="0" fontId="11" numFmtId="0" xfId="0" applyFont="1"/>
    <xf borderId="7" fillId="0" fontId="12" numFmtId="164" xfId="0" applyAlignment="1" applyBorder="1" applyFont="1" applyNumberFormat="1">
      <alignment horizontal="left" readingOrder="0" shrinkToFit="0" vertical="center" wrapText="1"/>
    </xf>
    <xf borderId="9" fillId="3" fontId="1" numFmtId="1" xfId="0" applyAlignment="1" applyBorder="1" applyFill="1" applyFont="1" applyNumberFormat="1">
      <alignment horizontal="left" shrinkToFit="0" vertical="center" wrapText="1"/>
    </xf>
    <xf borderId="9" fillId="8" fontId="10" numFmtId="0" xfId="0" applyAlignment="1" applyBorder="1" applyFill="1" applyFont="1">
      <alignment horizontal="left" readingOrder="1" shrinkToFit="0" vertical="center" wrapText="1"/>
    </xf>
    <xf borderId="9" fillId="2" fontId="1" numFmtId="0" xfId="0" applyAlignment="1" applyBorder="1" applyFill="1" applyFont="1">
      <alignment horizontal="left" readingOrder="0" shrinkToFit="0" vertical="center" wrapText="1"/>
    </xf>
    <xf borderId="9" fillId="9" fontId="10" numFmtId="0" xfId="0" applyAlignment="1" applyBorder="1" applyFill="1" applyFont="1">
      <alignment horizontal="left" readingOrder="1" shrinkToFit="0" vertical="center" wrapText="1"/>
    </xf>
    <xf borderId="7" fillId="10" fontId="5" numFmtId="0" xfId="0" applyAlignment="1" applyBorder="1" applyFill="1" applyFont="1">
      <alignment horizontal="left" shrinkToFit="0" vertical="center" wrapText="1"/>
    </xf>
    <xf borderId="7" fillId="10" fontId="5" numFmtId="0" xfId="0" applyAlignment="1" applyBorder="1" applyFill="1" applyFont="1">
      <alignment horizontal="left" readingOrder="1" shrinkToFit="0" vertical="center" wrapText="1"/>
    </xf>
    <xf borderId="7" fillId="10" fontId="5" numFmtId="165" xfId="0" applyAlignment="1" applyBorder="1" applyFill="1" applyFont="1" applyNumberFormat="1">
      <alignment horizontal="left" shrinkToFit="0" vertical="center" wrapText="1"/>
    </xf>
    <xf borderId="7" fillId="10" fontId="7" numFmtId="164" xfId="0" applyAlignment="1" applyBorder="1" applyFill="1" applyFont="1" applyNumberFormat="1">
      <alignment horizontal="left" readingOrder="1" shrinkToFit="0" vertical="center" wrapText="1"/>
    </xf>
    <xf borderId="7" fillId="10" fontId="5" numFmtId="164" xfId="0" applyAlignment="1" applyBorder="1" applyFill="1" applyFont="1" applyNumberFormat="1">
      <alignment horizontal="left" shrinkToFit="0" vertical="center" wrapText="1"/>
    </xf>
    <xf borderId="7" fillId="10" fontId="5" numFmtId="1" xfId="0" applyAlignment="1" applyBorder="1" applyFill="1" applyFont="1" applyNumberFormat="1">
      <alignment horizontal="left" shrinkToFit="0" vertical="center" wrapText="1"/>
    </xf>
    <xf borderId="7" fillId="10" fontId="8" numFmtId="0" xfId="0" applyAlignment="1" applyBorder="1" applyFill="1" applyFont="1">
      <alignment horizontal="left" shrinkToFit="0" vertical="center" wrapText="1"/>
    </xf>
    <xf borderId="9" fillId="2" fontId="1" numFmtId="165" xfId="0" applyAlignment="1" applyBorder="1" applyFill="1" applyFont="1" applyNumberFormat="1">
      <alignment horizontal="left" shrinkToFit="0" vertical="center" wrapText="1"/>
    </xf>
    <xf borderId="9" fillId="0" fontId="10" numFmtId="164" xfId="0" applyAlignment="1" applyBorder="1" applyFont="1" applyNumberFormat="1">
      <alignment horizontal="left" readingOrder="1" shrinkToFit="0" vertical="center" wrapText="1"/>
    </xf>
    <xf borderId="9" fillId="0" fontId="1" numFmtId="164" xfId="0" applyAlignment="1" applyBorder="1" applyFont="1" applyNumberFormat="1">
      <alignment horizontal="left" readingOrder="0" shrinkToFit="0" vertical="center" wrapText="1"/>
    </xf>
    <xf borderId="9" fillId="11" fontId="1" numFmtId="1" xfId="0" applyAlignment="1" applyBorder="1" applyFill="1" applyFont="1" applyNumberFormat="1">
      <alignment horizontal="left" shrinkToFit="0" vertical="center" wrapText="1"/>
    </xf>
    <xf borderId="9" fillId="2" fontId="10" numFmtId="0" xfId="0" applyAlignment="1" applyBorder="1" applyFill="1" applyFont="1">
      <alignment horizontal="left" readingOrder="1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10" fillId="2" fontId="1" numFmtId="165" xfId="0" applyAlignment="1" applyBorder="1" applyFill="1" applyFont="1" applyNumberFormat="1">
      <alignment horizontal="left" shrinkToFit="0" vertical="center" wrapText="1"/>
    </xf>
    <xf borderId="10" fillId="0" fontId="10" numFmtId="164" xfId="0" applyAlignment="1" applyBorder="1" applyFont="1" applyNumberFormat="1">
      <alignment horizontal="left" readingOrder="1" shrinkToFit="0" vertical="center" wrapText="1"/>
    </xf>
    <xf borderId="10" fillId="0" fontId="1" numFmtId="164" xfId="0" applyAlignment="1" applyBorder="1" applyFont="1" applyNumberFormat="1">
      <alignment horizontal="left" readingOrder="0" shrinkToFit="0" vertical="center" wrapText="1"/>
    </xf>
    <xf borderId="10" fillId="11" fontId="1" numFmtId="1" xfId="0" applyAlignment="1" applyBorder="1" applyFill="1" applyFont="1" applyNumberFormat="1">
      <alignment horizontal="left" shrinkToFit="0" vertical="center" wrapText="1"/>
    </xf>
    <xf borderId="10" fillId="2" fontId="1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/>
    </xf>
    <xf borderId="10" fillId="2" fontId="1" numFmtId="0" xfId="0" applyAlignment="1" applyBorder="1" applyFill="1" applyFont="1">
      <alignment horizontal="left" readingOrder="0" shrinkToFit="0" vertical="center" wrapText="1"/>
    </xf>
    <xf borderId="9" fillId="2" fontId="1" numFmtId="2" xfId="0" applyAlignment="1" applyBorder="1" applyFill="1" applyFont="1" applyNumberFormat="1">
      <alignment horizontal="left" readingOrder="0" shrinkToFit="0" vertical="center" wrapText="1"/>
    </xf>
    <xf borderId="7" fillId="12" fontId="5" numFmtId="0" xfId="0" applyAlignment="1" applyBorder="1" applyFill="1" applyFont="1">
      <alignment horizontal="left" shrinkToFit="0" vertical="center" wrapText="1"/>
    </xf>
    <xf borderId="7" fillId="12" fontId="12" numFmtId="0" xfId="0" applyAlignment="1" applyBorder="1" applyFill="1" applyFont="1">
      <alignment horizontal="left" readingOrder="1" shrinkToFit="0" vertical="center" wrapText="1"/>
    </xf>
    <xf borderId="7" fillId="12" fontId="14" numFmtId="165" xfId="0" applyAlignment="1" applyBorder="1" applyFill="1" applyFont="1" applyNumberFormat="1">
      <alignment horizontal="left" shrinkToFit="0" vertical="center" wrapText="1"/>
    </xf>
    <xf borderId="7" fillId="12" fontId="5" numFmtId="164" xfId="0" applyAlignment="1" applyBorder="1" applyFill="1" applyFont="1" applyNumberFormat="1">
      <alignment horizontal="left" readingOrder="1" shrinkToFit="0" vertical="center" wrapText="1"/>
    </xf>
    <xf borderId="7" fillId="12" fontId="5" numFmtId="164" xfId="0" applyAlignment="1" applyBorder="1" applyFill="1" applyFont="1" applyNumberFormat="1">
      <alignment horizontal="left" shrinkToFit="0" vertical="center" wrapText="1"/>
    </xf>
    <xf borderId="7" fillId="12" fontId="5" numFmtId="1" xfId="0" applyAlignment="1" applyBorder="1" applyFill="1" applyFont="1" applyNumberFormat="1">
      <alignment horizontal="left" shrinkToFit="0" vertical="center" wrapText="1"/>
    </xf>
    <xf borderId="7" fillId="12" fontId="1" numFmtId="0" xfId="0" applyAlignment="1" applyBorder="1" applyFill="1" applyFont="1">
      <alignment horizontal="left" shrinkToFit="0" vertical="center" wrapText="1"/>
    </xf>
    <xf borderId="9" fillId="13" fontId="1" numFmtId="1" xfId="0" applyAlignment="1" applyBorder="1" applyFill="1" applyFont="1" applyNumberFormat="1">
      <alignment horizontal="left" shrinkToFit="0" vertical="center" wrapText="1"/>
    </xf>
    <xf borderId="7" fillId="14" fontId="5" numFmtId="0" xfId="0" applyAlignment="1" applyBorder="1" applyFill="1" applyFont="1">
      <alignment horizontal="left" shrinkToFit="0" vertical="center" wrapText="1"/>
    </xf>
    <xf borderId="7" fillId="14" fontId="5" numFmtId="0" xfId="0" applyAlignment="1" applyBorder="1" applyFill="1" applyFont="1">
      <alignment horizontal="left" readingOrder="1" shrinkToFit="0" vertical="center" wrapText="1"/>
    </xf>
    <xf borderId="7" fillId="14" fontId="5" numFmtId="165" xfId="0" applyAlignment="1" applyBorder="1" applyFill="1" applyFont="1" applyNumberFormat="1">
      <alignment horizontal="left" shrinkToFit="0" vertical="center" wrapText="1"/>
    </xf>
    <xf borderId="7" fillId="14" fontId="5" numFmtId="164" xfId="0" applyAlignment="1" applyBorder="1" applyFill="1" applyFont="1" applyNumberFormat="1">
      <alignment horizontal="left" readingOrder="1" shrinkToFit="0" vertical="center" wrapText="1"/>
    </xf>
    <xf borderId="7" fillId="14" fontId="5" numFmtId="164" xfId="0" applyAlignment="1" applyBorder="1" applyFill="1" applyFont="1" applyNumberFormat="1">
      <alignment horizontal="left" shrinkToFit="0" vertical="center" wrapText="1"/>
    </xf>
    <xf borderId="7" fillId="14" fontId="5" numFmtId="1" xfId="0" applyAlignment="1" applyBorder="1" applyFill="1" applyFont="1" applyNumberFormat="1">
      <alignment horizontal="left" shrinkToFit="0" vertical="center" wrapText="1"/>
    </xf>
    <xf borderId="7" fillId="14" fontId="8" numFmtId="0" xfId="0" applyAlignment="1" applyBorder="1" applyFill="1" applyFont="1">
      <alignment horizontal="left" shrinkToFit="0" vertical="center" wrapText="1"/>
    </xf>
    <xf borderId="11" fillId="15" fontId="9" numFmtId="0" xfId="0" applyAlignment="1" applyBorder="1" applyFill="1" applyFont="1">
      <alignment shrinkToFit="0" wrapText="1"/>
    </xf>
    <xf borderId="0" fillId="0" fontId="11" numFmtId="0" xfId="0" applyAlignment="1" applyFont="1">
      <alignment readingOrder="0"/>
    </xf>
    <xf borderId="9" fillId="16" fontId="1" numFmtId="1" xfId="0" applyAlignment="1" applyBorder="1" applyFill="1" applyFont="1" applyNumberFormat="1">
      <alignment horizontal="left" shrinkToFit="0" vertical="center" wrapText="1"/>
    </xf>
    <xf borderId="10" fillId="16" fontId="1" numFmtId="1" xfId="0" applyAlignment="1" applyBorder="1" applyFill="1" applyFont="1" applyNumberFormat="1">
      <alignment horizontal="left" shrinkToFit="0" vertical="center" wrapText="1"/>
    </xf>
    <xf borderId="7" fillId="17" fontId="7" numFmtId="0" xfId="0" applyAlignment="1" applyBorder="1" applyFill="1" applyFont="1">
      <alignment horizontal="left" readingOrder="0" shrinkToFit="0" vertical="center" wrapText="1"/>
    </xf>
    <xf borderId="7" fillId="17" fontId="5" numFmtId="0" xfId="0" applyAlignment="1" applyBorder="1" applyFill="1" applyFont="1">
      <alignment horizontal="left" readingOrder="1" shrinkToFit="0" vertical="center" wrapText="1"/>
    </xf>
    <xf borderId="12" fillId="17" fontId="5" numFmtId="165" xfId="0" applyAlignment="1" applyBorder="1" applyFill="1" applyFont="1" applyNumberFormat="1">
      <alignment horizontal="left" shrinkToFit="0" vertical="center" wrapText="1"/>
    </xf>
    <xf borderId="7" fillId="17" fontId="5" numFmtId="164" xfId="0" applyAlignment="1" applyBorder="1" applyFill="1" applyFont="1" applyNumberFormat="1">
      <alignment horizontal="left" readingOrder="1" shrinkToFit="0" vertical="center" wrapText="1"/>
    </xf>
    <xf borderId="7" fillId="17" fontId="5" numFmtId="164" xfId="0" applyAlignment="1" applyBorder="1" applyFill="1" applyFont="1" applyNumberFormat="1">
      <alignment horizontal="left" shrinkToFit="0" vertical="center" wrapText="1"/>
    </xf>
    <xf borderId="7" fillId="17" fontId="5" numFmtId="1" xfId="0" applyAlignment="1" applyBorder="1" applyFill="1" applyFont="1" applyNumberFormat="1">
      <alignment horizontal="left" shrinkToFit="0" vertical="center" wrapText="1"/>
    </xf>
    <xf borderId="7" fillId="17" fontId="8" numFmtId="0" xfId="0" applyAlignment="1" applyBorder="1" applyFill="1" applyFont="1">
      <alignment horizontal="left" shrinkToFit="0" vertical="center" wrapText="1"/>
    </xf>
    <xf borderId="13" fillId="2" fontId="10" numFmtId="0" xfId="0" applyAlignment="1" applyBorder="1" applyFill="1" applyFont="1">
      <alignment horizontal="left" readingOrder="1" shrinkToFit="0" vertical="center" wrapText="1"/>
    </xf>
    <xf borderId="14" fillId="0" fontId="10" numFmtId="164" xfId="0" applyAlignment="1" applyBorder="1" applyFont="1" applyNumberFormat="1">
      <alignment horizontal="left" readingOrder="1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15" fontId="9" numFmtId="0" xfId="0" applyAlignment="1" applyFill="1" applyFont="1">
      <alignment shrinkToFit="0" wrapText="1"/>
    </xf>
    <xf borderId="0" fillId="2" fontId="1" numFmtId="165" xfId="0" applyAlignment="1" applyFill="1" applyFont="1" applyNumberFormat="1">
      <alignment horizontal="left" shrinkToFit="0" vertical="center" wrapText="1"/>
    </xf>
    <xf borderId="0" fillId="0" fontId="10" numFmtId="164" xfId="0" applyAlignment="1" applyFont="1" applyNumberFormat="1">
      <alignment horizontal="left" readingOrder="1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left" readingOrder="0" shrinkToFit="0" vertical="center" wrapText="1"/>
    </xf>
    <xf borderId="15" fillId="0" fontId="5" numFmtId="165" xfId="0" applyAlignment="1" applyBorder="1" applyFont="1" applyNumberFormat="1">
      <alignment horizontal="left" shrinkToFit="0" vertical="center" wrapText="1"/>
    </xf>
    <xf borderId="15" fillId="0" fontId="5" numFmtId="164" xfId="0" applyAlignment="1" applyBorder="1" applyFont="1" applyNumberFormat="1">
      <alignment horizontal="left" readingOrder="1" shrinkToFit="0" vertical="center" wrapText="1"/>
    </xf>
    <xf borderId="15" fillId="0" fontId="5" numFmtId="164" xfId="0" applyAlignment="1" applyBorder="1" applyFont="1" applyNumberFormat="1">
      <alignment horizontal="left" shrinkToFit="0" vertical="center" wrapText="1"/>
    </xf>
    <xf borderId="15" fillId="0" fontId="5" numFmtId="1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Fecha  inicio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correccion!$C$8:$C$34</c:f>
            </c:strRef>
          </c:cat>
          <c:val>
            <c:numRef>
              <c:f>correccion!$F$8:$F$29</c:f>
              <c:numCache/>
            </c:numRef>
          </c:val>
        </c:ser>
        <c:ser>
          <c:idx val="1"/>
          <c:order val="1"/>
          <c:tx>
            <c:v>Duración (en días)</c:v>
          </c:tx>
          <c:spPr>
            <a:solidFill>
              <a:srgbClr val="03C15A">
                <a:alpha val="78824"/>
              </a:srgbClr>
            </a:solidFill>
            <a:ln cmpd="sng">
              <a:noFill/>
            </a:ln>
          </c:spPr>
          <c:dPt>
            <c:idx val="0"/>
            <c:spPr>
              <a:solidFill>
                <a:srgbClr val="0070C0">
                  <a:alpha val="78824"/>
                </a:srgbClr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1EEFF">
                  <a:alpha val="78824"/>
                </a:srgbClr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007134">
                  <a:alpha val="78824"/>
                </a:srgbClr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00B050">
                  <a:alpha val="78824"/>
                </a:srgbClr>
              </a:solidFill>
              <a:ln cmpd="sng">
                <a:noFill/>
              </a:ln>
            </c:spPr>
          </c:dPt>
          <c:dPt>
            <c:idx val="13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7"/>
            <c:spPr>
              <a:solidFill>
                <a:schemeClr val="accent4"/>
              </a:solidFill>
              <a:ln cmpd="sng">
                <a:noFill/>
              </a:ln>
            </c:spPr>
          </c:dPt>
          <c:cat>
            <c:strRef>
              <c:f>correccion!$C$8:$C$34</c:f>
            </c:strRef>
          </c:cat>
          <c:val>
            <c:numRef>
              <c:f>correccion!$H$8:$H$29</c:f>
              <c:numCache/>
            </c:numRef>
          </c:val>
        </c:ser>
        <c:overlap val="100"/>
        <c:axId val="32598963"/>
        <c:axId val="474833107"/>
      </c:barChart>
      <c:catAx>
        <c:axId val="325989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474833107"/>
      </c:catAx>
      <c:valAx>
        <c:axId val="474833107"/>
        <c:scaling>
          <c:orientation val="minMax"/>
          <c:max val="45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32598963"/>
        <c:crosses val="max"/>
        <c:majorUnit val="5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36</xdr:row>
      <xdr:rowOff>114300</xdr:rowOff>
    </xdr:from>
    <xdr:ext cx="14916150" cy="7524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 outlineLevelRow="1"/>
  <cols>
    <col customWidth="1" min="1" max="1" width="3.44"/>
    <col customWidth="1" min="2" max="2" width="7.89"/>
    <col customWidth="1" min="3" max="3" width="57.0"/>
    <col customWidth="1" min="4" max="4" width="12.89"/>
    <col customWidth="1" min="5" max="5" width="20.89"/>
    <col customWidth="1" min="6" max="7" width="8.89"/>
    <col customWidth="1" min="8" max="8" width="11.89"/>
    <col customWidth="1" min="9" max="9" width="50.89"/>
    <col customWidth="1" min="10" max="10" width="3.44"/>
    <col customWidth="1" min="11" max="11" width="12.89"/>
    <col customWidth="1" min="12" max="17" width="11.0"/>
    <col customWidth="1" min="18" max="18" width="9.0"/>
    <col customWidth="1" min="19" max="31" width="11.0"/>
  </cols>
  <sheetData>
    <row r="1" ht="57.0" customHeight="1">
      <c r="A1" s="1"/>
      <c r="B1" s="2" t="s">
        <v>0</v>
      </c>
      <c r="C1" s="3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8.0" customHeight="1">
      <c r="A2" s="4"/>
      <c r="B2" s="4"/>
      <c r="C2" s="4" t="s">
        <v>1</v>
      </c>
      <c r="D2" s="4"/>
      <c r="E2" s="4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30.0" customHeight="1">
      <c r="A3" s="1"/>
      <c r="B3" s="1"/>
      <c r="C3" s="5" t="s">
        <v>3</v>
      </c>
      <c r="D3" s="1"/>
      <c r="E3" s="6">
        <v>46250.0</v>
      </c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8.0" customHeight="1">
      <c r="A4" s="4"/>
      <c r="B4" s="4"/>
      <c r="C4" s="7" t="s">
        <v>5</v>
      </c>
      <c r="D4" s="4"/>
      <c r="E4" s="7" t="s">
        <v>6</v>
      </c>
      <c r="F4" s="4"/>
      <c r="G4" s="4"/>
      <c r="H4" s="4" t="s">
        <v>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30.0" customHeight="1">
      <c r="A5" s="1"/>
      <c r="B5" s="1"/>
      <c r="C5" s="8" t="s">
        <v>8</v>
      </c>
      <c r="D5" s="1"/>
      <c r="E5" s="6">
        <v>46344.0</v>
      </c>
      <c r="F5" s="1"/>
      <c r="G5" s="1"/>
      <c r="H5" s="9">
        <f>IF(E3=0,0,E5-E3)+1</f>
        <v>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2.75" customHeight="1">
      <c r="A6" s="1"/>
      <c r="B6" s="1"/>
      <c r="C6" s="1"/>
      <c r="D6" s="1"/>
      <c r="E6" s="10"/>
      <c r="F6" s="1"/>
      <c r="G6" s="1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34.5" customHeight="1">
      <c r="A7" s="11"/>
      <c r="B7" s="12" t="s">
        <v>9</v>
      </c>
      <c r="C7" s="12" t="s">
        <v>10</v>
      </c>
      <c r="D7" s="12" t="s">
        <v>11</v>
      </c>
      <c r="E7" s="12" t="s">
        <v>12</v>
      </c>
      <c r="F7" s="13" t="s">
        <v>13</v>
      </c>
      <c r="G7" s="14" t="s">
        <v>14</v>
      </c>
      <c r="H7" s="12" t="s">
        <v>15</v>
      </c>
      <c r="I7" s="12" t="s">
        <v>16</v>
      </c>
      <c r="J7" s="11"/>
      <c r="K7" s="15" t="s">
        <v>11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24.75" customHeight="1">
      <c r="A8" s="11"/>
      <c r="B8" s="16">
        <v>1.0</v>
      </c>
      <c r="C8" s="17" t="s">
        <v>17</v>
      </c>
      <c r="D8" s="18"/>
      <c r="E8" s="18"/>
      <c r="F8" s="19">
        <f>F9</f>
        <v>46250</v>
      </c>
      <c r="G8" s="20">
        <f>G11</f>
        <v>46263</v>
      </c>
      <c r="H8" s="21">
        <f t="shared" ref="H8:H34" si="1">IF(F8=0,0,G8-F8)+1</f>
        <v>14</v>
      </c>
      <c r="I8" s="22"/>
      <c r="J8" s="11"/>
      <c r="K8" s="23" t="s">
        <v>18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ht="24.75" customHeight="1" outlineLevel="1">
      <c r="A9" s="11"/>
      <c r="B9" s="24">
        <v>1.1</v>
      </c>
      <c r="C9" s="25" t="s">
        <v>19</v>
      </c>
      <c r="D9" s="26" t="s">
        <v>20</v>
      </c>
      <c r="E9" s="27" t="s">
        <v>21</v>
      </c>
      <c r="F9" s="28">
        <v>46250.0</v>
      </c>
      <c r="G9" s="28">
        <v>46251.0</v>
      </c>
      <c r="H9" s="29">
        <f t="shared" si="1"/>
        <v>2</v>
      </c>
      <c r="I9" s="24"/>
      <c r="J9" s="11"/>
      <c r="K9" s="30" t="s">
        <v>22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24.75" customHeight="1" outlineLevel="1">
      <c r="A10" s="11"/>
      <c r="B10" s="31">
        <v>1.2</v>
      </c>
      <c r="C10" s="25" t="s">
        <v>23</v>
      </c>
      <c r="D10" s="26" t="s">
        <v>20</v>
      </c>
      <c r="F10" s="28">
        <v>46252.0</v>
      </c>
      <c r="G10" s="28">
        <v>46253.0</v>
      </c>
      <c r="H10" s="29">
        <f t="shared" si="1"/>
        <v>2</v>
      </c>
      <c r="I10" s="24"/>
      <c r="J10" s="11"/>
      <c r="K10" s="32" t="s">
        <v>20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ht="24.75" customHeight="1" outlineLevel="1">
      <c r="A11" s="11"/>
      <c r="B11" s="24">
        <v>1.3</v>
      </c>
      <c r="C11" s="25" t="s">
        <v>24</v>
      </c>
      <c r="D11" s="26" t="s">
        <v>22</v>
      </c>
      <c r="F11" s="28">
        <v>46259.0</v>
      </c>
      <c r="G11" s="28">
        <v>46263.0</v>
      </c>
      <c r="H11" s="29">
        <f t="shared" si="1"/>
        <v>5</v>
      </c>
      <c r="I11" s="24"/>
      <c r="J11" s="11"/>
      <c r="K11" s="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24.75" customHeight="1">
      <c r="A12" s="11"/>
      <c r="B12" s="33">
        <v>2.0</v>
      </c>
      <c r="C12" s="33" t="s">
        <v>25</v>
      </c>
      <c r="D12" s="34"/>
      <c r="E12" s="35"/>
      <c r="F12" s="36">
        <f>F13</f>
        <v>46268</v>
      </c>
      <c r="G12" s="37">
        <f>G21</f>
        <v>46283</v>
      </c>
      <c r="H12" s="38">
        <f t="shared" si="1"/>
        <v>16</v>
      </c>
      <c r="I12" s="39"/>
      <c r="J12" s="11"/>
      <c r="K12" s="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ht="24.75" customHeight="1" outlineLevel="1">
      <c r="A13" s="11"/>
      <c r="B13" s="24">
        <v>2.1</v>
      </c>
      <c r="C13" s="25" t="s">
        <v>26</v>
      </c>
      <c r="D13" s="26" t="s">
        <v>20</v>
      </c>
      <c r="E13" s="40"/>
      <c r="F13" s="41">
        <v>46268.0</v>
      </c>
      <c r="G13" s="42">
        <v>46270.0</v>
      </c>
      <c r="H13" s="43">
        <f t="shared" si="1"/>
        <v>3</v>
      </c>
      <c r="I13" s="24"/>
      <c r="J13" s="11"/>
      <c r="K13" s="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ht="24.75" customHeight="1" outlineLevel="1">
      <c r="A14" s="11"/>
      <c r="B14" s="24">
        <v>2.2</v>
      </c>
      <c r="C14" s="25" t="s">
        <v>27</v>
      </c>
      <c r="D14" s="44" t="s">
        <v>18</v>
      </c>
      <c r="E14" s="40"/>
      <c r="F14" s="41">
        <v>46268.0</v>
      </c>
      <c r="G14" s="42">
        <v>46273.0</v>
      </c>
      <c r="H14" s="43">
        <f t="shared" si="1"/>
        <v>6</v>
      </c>
      <c r="I14" s="24"/>
      <c r="J14" s="11"/>
      <c r="K14" s="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ht="24.75" customHeight="1" outlineLevel="1">
      <c r="A15" s="11"/>
      <c r="B15" s="24">
        <v>2.3</v>
      </c>
      <c r="C15" s="25" t="s">
        <v>28</v>
      </c>
      <c r="D15" s="44" t="s">
        <v>18</v>
      </c>
      <c r="E15" s="40"/>
      <c r="F15" s="41">
        <v>46273.0</v>
      </c>
      <c r="G15" s="42">
        <v>46275.0</v>
      </c>
      <c r="H15" s="43">
        <f t="shared" si="1"/>
        <v>3</v>
      </c>
      <c r="I15" s="24"/>
      <c r="J15" s="11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ht="24.75" customHeight="1" outlineLevel="1">
      <c r="A16" s="11"/>
      <c r="B16" s="24">
        <v>2.4</v>
      </c>
      <c r="C16" s="45" t="s">
        <v>29</v>
      </c>
      <c r="D16" s="26" t="s">
        <v>20</v>
      </c>
      <c r="E16" s="46"/>
      <c r="F16" s="47">
        <v>46274.0</v>
      </c>
      <c r="G16" s="48">
        <v>46277.0</v>
      </c>
      <c r="H16" s="49">
        <f t="shared" si="1"/>
        <v>4</v>
      </c>
      <c r="I16" s="50"/>
      <c r="J16" s="11"/>
      <c r="K16" s="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t="24.75" customHeight="1" outlineLevel="1">
      <c r="A17" s="11"/>
      <c r="B17" s="24">
        <v>2.5</v>
      </c>
      <c r="C17" s="25" t="s">
        <v>30</v>
      </c>
      <c r="D17" s="44" t="s">
        <v>18</v>
      </c>
      <c r="E17" s="40"/>
      <c r="F17" s="41">
        <v>46277.0</v>
      </c>
      <c r="G17" s="42">
        <v>46278.0</v>
      </c>
      <c r="H17" s="43">
        <f t="shared" si="1"/>
        <v>2</v>
      </c>
      <c r="I17" s="24"/>
      <c r="J17" s="11"/>
      <c r="K17" s="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ht="24.75" customHeight="1" outlineLevel="1">
      <c r="A18" s="11"/>
      <c r="B18" s="24">
        <v>2.6</v>
      </c>
      <c r="C18" s="25" t="s">
        <v>31</v>
      </c>
      <c r="D18" s="44" t="s">
        <v>18</v>
      </c>
      <c r="E18" s="40"/>
      <c r="F18" s="41">
        <v>46277.0</v>
      </c>
      <c r="G18" s="42">
        <v>46280.0</v>
      </c>
      <c r="H18" s="43">
        <f t="shared" si="1"/>
        <v>4</v>
      </c>
      <c r="I18" s="24"/>
      <c r="J18" s="11"/>
      <c r="K18" s="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t="24.75" customHeight="1" outlineLevel="1">
      <c r="A19" s="11"/>
      <c r="B19" s="31">
        <v>2.7</v>
      </c>
      <c r="C19" s="51" t="s">
        <v>32</v>
      </c>
      <c r="D19" s="26" t="s">
        <v>20</v>
      </c>
      <c r="E19" s="40"/>
      <c r="F19" s="41">
        <v>46280.0</v>
      </c>
      <c r="G19" s="42">
        <v>46282.0</v>
      </c>
      <c r="H19" s="43">
        <f t="shared" si="1"/>
        <v>3</v>
      </c>
      <c r="I19" s="24"/>
      <c r="J19" s="11"/>
      <c r="K19" s="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t="24.75" customHeight="1" outlineLevel="1">
      <c r="A20" s="11"/>
      <c r="B20" s="24">
        <v>2.8</v>
      </c>
      <c r="C20" s="45" t="s">
        <v>33</v>
      </c>
      <c r="D20" s="44" t="s">
        <v>18</v>
      </c>
      <c r="E20" s="52" t="s">
        <v>21</v>
      </c>
      <c r="F20" s="47">
        <v>46275.0</v>
      </c>
      <c r="G20" s="48">
        <v>46280.0</v>
      </c>
      <c r="H20" s="49">
        <f t="shared" si="1"/>
        <v>6</v>
      </c>
      <c r="I20" s="50"/>
      <c r="J20" s="11"/>
      <c r="K20" s="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ht="24.75" customHeight="1" outlineLevel="1">
      <c r="A21" s="11"/>
      <c r="B21" s="24">
        <v>2.9</v>
      </c>
      <c r="C21" s="25" t="s">
        <v>34</v>
      </c>
      <c r="D21" s="44" t="s">
        <v>18</v>
      </c>
      <c r="E21" s="40"/>
      <c r="F21" s="41">
        <v>46280.0</v>
      </c>
      <c r="G21" s="42">
        <v>46283.0</v>
      </c>
      <c r="H21" s="43">
        <f t="shared" si="1"/>
        <v>4</v>
      </c>
      <c r="I21" s="24"/>
      <c r="J21" s="11"/>
      <c r="K21" s="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24.75" customHeight="1" outlineLevel="1">
      <c r="A22" s="11"/>
      <c r="B22" s="53">
        <v>2.1</v>
      </c>
      <c r="C22" s="25" t="s">
        <v>35</v>
      </c>
      <c r="D22" s="44" t="s">
        <v>18</v>
      </c>
      <c r="E22" s="40"/>
      <c r="F22" s="41">
        <v>46268.0</v>
      </c>
      <c r="G22" s="42">
        <v>46270.0</v>
      </c>
      <c r="H22" s="43">
        <f t="shared" si="1"/>
        <v>3</v>
      </c>
      <c r="I22" s="24"/>
      <c r="J22" s="11"/>
      <c r="K22" s="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24.75" customHeight="1">
      <c r="A23" s="11"/>
      <c r="B23" s="54">
        <v>3.0</v>
      </c>
      <c r="C23" s="54" t="s">
        <v>36</v>
      </c>
      <c r="D23" s="55"/>
      <c r="E23" s="56"/>
      <c r="F23" s="57">
        <f t="shared" ref="F23:G23" si="2">F24</f>
        <v>46284</v>
      </c>
      <c r="G23" s="58">
        <f t="shared" si="2"/>
        <v>46316</v>
      </c>
      <c r="H23" s="59">
        <f t="shared" si="1"/>
        <v>33</v>
      </c>
      <c r="I23" s="60"/>
      <c r="J23" s="11"/>
      <c r="K23" s="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24.75" customHeight="1" outlineLevel="1">
      <c r="A24" s="11"/>
      <c r="B24" s="24">
        <v>3.1</v>
      </c>
      <c r="C24" s="25" t="s">
        <v>37</v>
      </c>
      <c r="D24" s="44" t="s">
        <v>18</v>
      </c>
      <c r="E24" s="31" t="s">
        <v>21</v>
      </c>
      <c r="F24" s="41">
        <v>46284.0</v>
      </c>
      <c r="G24" s="42">
        <v>46316.0</v>
      </c>
      <c r="H24" s="61">
        <f t="shared" si="1"/>
        <v>33</v>
      </c>
      <c r="I24" s="50"/>
      <c r="J24" s="11"/>
      <c r="K24" s="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ht="24.75" customHeight="1">
      <c r="A25" s="11"/>
      <c r="B25" s="62">
        <v>4.0</v>
      </c>
      <c r="C25" s="62" t="s">
        <v>38</v>
      </c>
      <c r="D25" s="63"/>
      <c r="E25" s="64"/>
      <c r="F25" s="65">
        <f>F26</f>
        <v>46284</v>
      </c>
      <c r="G25" s="66">
        <f>G30</f>
        <v>46338</v>
      </c>
      <c r="H25" s="67">
        <f t="shared" si="1"/>
        <v>55</v>
      </c>
      <c r="I25" s="68"/>
      <c r="J25" s="11"/>
      <c r="K25" s="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ht="24.75" customHeight="1" outlineLevel="1">
      <c r="A26" s="11"/>
      <c r="B26" s="24">
        <v>4.1</v>
      </c>
      <c r="C26" s="69" t="s">
        <v>39</v>
      </c>
      <c r="D26" s="44" t="s">
        <v>18</v>
      </c>
      <c r="E26" s="70" t="s">
        <v>40</v>
      </c>
      <c r="F26" s="41">
        <v>46284.0</v>
      </c>
      <c r="G26" s="42">
        <v>46330.0</v>
      </c>
      <c r="H26" s="71">
        <f t="shared" si="1"/>
        <v>47</v>
      </c>
      <c r="I26" s="24"/>
      <c r="J26" s="11"/>
      <c r="K26" s="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ht="24.75" customHeight="1" outlineLevel="1">
      <c r="A27" s="11"/>
      <c r="B27" s="24">
        <v>4.2</v>
      </c>
      <c r="C27" s="69" t="s">
        <v>41</v>
      </c>
      <c r="D27" s="44" t="s">
        <v>18</v>
      </c>
      <c r="E27" s="70" t="s">
        <v>40</v>
      </c>
      <c r="F27" s="41">
        <v>46285.0</v>
      </c>
      <c r="G27" s="42">
        <v>46330.0</v>
      </c>
      <c r="H27" s="71">
        <f t="shared" si="1"/>
        <v>46</v>
      </c>
      <c r="I27" s="24"/>
      <c r="J27" s="11"/>
      <c r="K27" s="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ht="24.75" customHeight="1" outlineLevel="1">
      <c r="A28" s="11"/>
      <c r="B28" s="24">
        <v>4.3</v>
      </c>
      <c r="C28" s="69" t="s">
        <v>42</v>
      </c>
      <c r="D28" s="44" t="s">
        <v>18</v>
      </c>
      <c r="E28" s="40"/>
      <c r="F28" s="41">
        <v>46317.0</v>
      </c>
      <c r="G28" s="42">
        <v>46330.0</v>
      </c>
      <c r="H28" s="71">
        <f t="shared" si="1"/>
        <v>14</v>
      </c>
      <c r="I28" s="24"/>
      <c r="J28" s="11"/>
      <c r="K28" s="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ht="24.75" customHeight="1" outlineLevel="1">
      <c r="A29" s="11"/>
      <c r="B29" s="50">
        <v>4.4</v>
      </c>
      <c r="C29" s="69" t="s">
        <v>43</v>
      </c>
      <c r="D29" s="44" t="s">
        <v>18</v>
      </c>
      <c r="E29" s="46"/>
      <c r="F29" s="47">
        <v>46331.0</v>
      </c>
      <c r="G29" s="48">
        <v>46336.0</v>
      </c>
      <c r="H29" s="72">
        <f t="shared" si="1"/>
        <v>6</v>
      </c>
      <c r="I29" s="50"/>
      <c r="J29" s="11"/>
      <c r="K29" s="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ht="24.75" customHeight="1" outlineLevel="1">
      <c r="A30" s="11"/>
      <c r="B30" s="52">
        <v>4.5</v>
      </c>
      <c r="C30" s="69" t="s">
        <v>44</v>
      </c>
      <c r="D30" s="44" t="s">
        <v>18</v>
      </c>
      <c r="E30" s="46"/>
      <c r="F30" s="47">
        <v>46336.0</v>
      </c>
      <c r="G30" s="48">
        <v>46338.0</v>
      </c>
      <c r="H30" s="72">
        <f t="shared" si="1"/>
        <v>3</v>
      </c>
      <c r="I30" s="50"/>
      <c r="J30" s="11"/>
      <c r="K30" s="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ht="24.75" customHeight="1">
      <c r="A31" s="11"/>
      <c r="B31" s="73">
        <v>5.0</v>
      </c>
      <c r="C31" s="73" t="s">
        <v>45</v>
      </c>
      <c r="D31" s="74"/>
      <c r="E31" s="75"/>
      <c r="F31" s="76">
        <f>F32</f>
        <v>46331</v>
      </c>
      <c r="G31" s="77">
        <f>G34</f>
        <v>46344</v>
      </c>
      <c r="H31" s="78">
        <f t="shared" si="1"/>
        <v>14</v>
      </c>
      <c r="I31" s="79"/>
      <c r="J31" s="11"/>
      <c r="K31" s="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ht="24.75" customHeight="1">
      <c r="A32" s="11"/>
      <c r="B32" s="31">
        <v>5.1</v>
      </c>
      <c r="C32" s="69" t="s">
        <v>46</v>
      </c>
      <c r="D32" s="80" t="s">
        <v>18</v>
      </c>
      <c r="E32" s="70" t="s">
        <v>21</v>
      </c>
      <c r="F32" s="81">
        <v>46331.0</v>
      </c>
      <c r="G32" s="42">
        <v>46338.0</v>
      </c>
      <c r="H32" s="71">
        <f t="shared" si="1"/>
        <v>8</v>
      </c>
      <c r="I32" s="50"/>
      <c r="J32" s="11"/>
      <c r="K32" s="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ht="24.75" customHeight="1">
      <c r="A33" s="11"/>
      <c r="B33" s="31">
        <v>5.2</v>
      </c>
      <c r="C33" s="69" t="s">
        <v>47</v>
      </c>
      <c r="D33" s="80" t="s">
        <v>18</v>
      </c>
      <c r="E33" s="70" t="s">
        <v>21</v>
      </c>
      <c r="F33" s="81">
        <v>46338.0</v>
      </c>
      <c r="G33" s="42">
        <v>46342.0</v>
      </c>
      <c r="H33" s="71">
        <f t="shared" si="1"/>
        <v>5</v>
      </c>
      <c r="I33" s="50"/>
      <c r="J33" s="11"/>
      <c r="K33" s="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ht="24.75" customHeight="1">
      <c r="A34" s="11"/>
      <c r="B34" s="31">
        <v>5.3</v>
      </c>
      <c r="C34" s="69" t="s">
        <v>48</v>
      </c>
      <c r="D34" s="80" t="s">
        <v>18</v>
      </c>
      <c r="E34" s="70" t="s">
        <v>21</v>
      </c>
      <c r="F34" s="81">
        <v>46343.0</v>
      </c>
      <c r="G34" s="42">
        <v>46344.0</v>
      </c>
      <c r="H34" s="71">
        <f t="shared" si="1"/>
        <v>2</v>
      </c>
      <c r="I34" s="50"/>
      <c r="J34" s="11"/>
      <c r="K34" s="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ht="24.75" customHeight="1">
      <c r="A35" s="11"/>
      <c r="B35" s="82"/>
      <c r="C35" s="83"/>
      <c r="D35" s="83"/>
      <c r="E35" s="84"/>
      <c r="F35" s="85"/>
      <c r="G35" s="86" t="s">
        <v>49</v>
      </c>
      <c r="H35" s="78">
        <f>IF(F8=0,0,G31-F8)+1</f>
        <v>95</v>
      </c>
      <c r="I35" s="87"/>
      <c r="J35" s="11"/>
      <c r="K35" s="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ht="24.75" customHeight="1">
      <c r="A36" s="11"/>
      <c r="B36" s="88"/>
      <c r="C36" s="88"/>
      <c r="D36" s="83"/>
      <c r="E36" s="89"/>
      <c r="F36" s="90"/>
      <c r="G36" s="91"/>
      <c r="H36" s="92"/>
      <c r="I36" s="87"/>
      <c r="J36" s="11"/>
      <c r="K36" s="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ht="300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300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ht="12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</sheetData>
  <conditionalFormatting sqref="D8:D34">
    <cfRule type="containsText" dxfId="0" priority="1" operator="containsText" text="On Hold">
      <formula>NOT(ISERROR(SEARCH(("On Hold"),(D8))))</formula>
    </cfRule>
  </conditionalFormatting>
  <conditionalFormatting sqref="D8:D34">
    <cfRule type="containsText" dxfId="1" priority="2" operator="containsText" text="Complete">
      <formula>NOT(ISERROR(SEARCH(("Complete"),(D8))))</formula>
    </cfRule>
  </conditionalFormatting>
  <conditionalFormatting sqref="D8:D34">
    <cfRule type="containsText" dxfId="2" priority="3" operator="containsText" text="In Progress">
      <formula>NOT(ISERROR(SEARCH(("In Progress"),(D8))))</formula>
    </cfRule>
  </conditionalFormatting>
  <conditionalFormatting sqref="D8:D34">
    <cfRule type="containsText" dxfId="3" priority="4" operator="containsText" text="Not Started">
      <formula>NOT(ISERROR(SEARCH(("Not Started"),(D8))))</formula>
    </cfRule>
  </conditionalFormatting>
  <conditionalFormatting sqref="K8:K10">
    <cfRule type="containsText" dxfId="0" priority="5" stopIfTrue="1" operator="containsText" text="On Hold">
      <formula>NOT(ISERROR(SEARCH(("On Hold"),(K8))))</formula>
    </cfRule>
  </conditionalFormatting>
  <conditionalFormatting sqref="K8:K10">
    <cfRule type="containsText" dxfId="1" priority="6" operator="containsText" text="Complete">
      <formula>NOT(ISERROR(SEARCH(("Complete"),(K8))))</formula>
    </cfRule>
  </conditionalFormatting>
  <conditionalFormatting sqref="K8:K10">
    <cfRule type="containsText" dxfId="2" priority="7" operator="containsText" text="In Progress">
      <formula>NOT(ISERROR(SEARCH(("In Progress"),(K8))))</formula>
    </cfRule>
  </conditionalFormatting>
  <conditionalFormatting sqref="K8:K10">
    <cfRule type="containsText" dxfId="3" priority="8" operator="containsText" text="Not Started">
      <formula>NOT(ISERROR(SEARCH(("Not Started"),(K8))))</formula>
    </cfRule>
  </conditionalFormatting>
  <conditionalFormatting sqref="D9:D11">
    <cfRule type="cellIs" dxfId="4" priority="9" operator="equal">
      <formula>"Completo"</formula>
    </cfRule>
  </conditionalFormatting>
  <conditionalFormatting sqref="D9:D11">
    <cfRule type="cellIs" dxfId="5" priority="10" operator="equal">
      <formula>"En Espera"</formula>
    </cfRule>
  </conditionalFormatting>
  <conditionalFormatting sqref="D9:D11">
    <cfRule type="cellIs" dxfId="2" priority="11" operator="equal">
      <formula>"En Progreso"</formula>
    </cfRule>
  </conditionalFormatting>
  <conditionalFormatting sqref="D9:D11">
    <cfRule type="cellIs" dxfId="6" priority="12" operator="equal">
      <formula>"No Iniciado"</formula>
    </cfRule>
  </conditionalFormatting>
  <conditionalFormatting sqref="D13:D22">
    <cfRule type="cellIs" dxfId="4" priority="13" operator="equal">
      <formula>"Completo"</formula>
    </cfRule>
  </conditionalFormatting>
  <conditionalFormatting sqref="D13:D22">
    <cfRule type="cellIs" dxfId="5" priority="14" operator="equal">
      <formula>"En Espera"</formula>
    </cfRule>
  </conditionalFormatting>
  <conditionalFormatting sqref="D13:D22">
    <cfRule type="cellIs" dxfId="2" priority="15" operator="equal">
      <formula>"En Progreso"</formula>
    </cfRule>
  </conditionalFormatting>
  <conditionalFormatting sqref="D13:D22">
    <cfRule type="cellIs" dxfId="6" priority="16" operator="equal">
      <formula>"No Iniciado"</formula>
    </cfRule>
  </conditionalFormatting>
  <conditionalFormatting sqref="D24">
    <cfRule type="cellIs" dxfId="4" priority="17" operator="equal">
      <formula>"Completo"</formula>
    </cfRule>
  </conditionalFormatting>
  <conditionalFormatting sqref="D24">
    <cfRule type="cellIs" dxfId="5" priority="18" operator="equal">
      <formula>"En Espera"</formula>
    </cfRule>
  </conditionalFormatting>
  <conditionalFormatting sqref="D24">
    <cfRule type="cellIs" dxfId="2" priority="19" operator="equal">
      <formula>"En Progreso"</formula>
    </cfRule>
  </conditionalFormatting>
  <conditionalFormatting sqref="D24">
    <cfRule type="cellIs" dxfId="6" priority="20" operator="equal">
      <formula>"No Iniciado"</formula>
    </cfRule>
  </conditionalFormatting>
  <conditionalFormatting sqref="D9:D11 D19 D26:D34">
    <cfRule type="cellIs" dxfId="4" priority="21" operator="equal">
      <formula>"Completo"</formula>
    </cfRule>
  </conditionalFormatting>
  <conditionalFormatting sqref="D9:D11 D19 D26:D34">
    <cfRule type="cellIs" dxfId="5" priority="22" operator="equal">
      <formula>"En Espera"</formula>
    </cfRule>
  </conditionalFormatting>
  <conditionalFormatting sqref="D9:D11 D19 D26:D34">
    <cfRule type="cellIs" dxfId="2" priority="23" operator="equal">
      <formula>"En Progreso"</formula>
    </cfRule>
  </conditionalFormatting>
  <conditionalFormatting sqref="D9:D11 D19 D26:D34">
    <cfRule type="cellIs" dxfId="6" priority="24" operator="equal">
      <formula>"No Iniciado"</formula>
    </cfRule>
  </conditionalFormatting>
  <dataValidations>
    <dataValidation type="list" allowBlank="1" showErrorMessage="1" sqref="D8:D34">
      <formula1>$K$8:$K$10</formula1>
    </dataValidation>
  </dataValidations>
  <printOptions/>
  <pageMargins bottom="0.3" footer="0.0" header="0.0" left="0.3" right="0.3" top="0.3"/>
  <pageSetup fitToHeight="0" orientation="landscape"/>
  <drawing r:id="rId1"/>
</worksheet>
</file>